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inmayshetty/Library/Containers/net.whatsapp.WhatsApp/Data/tmp/documents/C8FC709C-4BB3-4512-B185-F481BDAD7764/"/>
    </mc:Choice>
  </mc:AlternateContent>
  <xr:revisionPtr revIDLastSave="0" documentId="13_ncr:1_{FEF3F115-AC7B-984F-B8D2-CA1D0BB71DC7}" xr6:coauthVersionLast="47" xr6:coauthVersionMax="47" xr10:uidLastSave="{00000000-0000-0000-0000-000000000000}"/>
  <bookViews>
    <workbookView xWindow="0" yWindow="600" windowWidth="19420" windowHeight="11500" xr2:uid="{00000000-000D-0000-FFFF-FFFF00000000}"/>
  </bookViews>
  <sheets>
    <sheet name="Name" sheetId="5" r:id="rId1"/>
    <sheet name="Income Sheet" sheetId="6" r:id="rId2"/>
    <sheet name="Dividend Calculation" sheetId="7" r:id="rId3"/>
    <sheet name="Section B" sheetId="9" r:id="rId4"/>
    <sheet name="Regression" sheetId="8" r:id="rId5"/>
    <sheet name="Beta &amp; Cost of Equity" sheetId="10" r:id="rId6"/>
    <sheet name="Cost Of Debt &amp; WACC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" i="6" l="1"/>
  <c r="N3" i="6"/>
  <c r="C88" i="6"/>
  <c r="B89" i="6"/>
  <c r="G39" i="9"/>
  <c r="D7" i="7" l="1"/>
  <c r="C8" i="7" s="1"/>
  <c r="B7" i="7"/>
  <c r="O97" i="6" l="1"/>
  <c r="P97" i="6"/>
  <c r="Q97" i="6"/>
  <c r="R97" i="6"/>
  <c r="N97" i="6"/>
  <c r="O71" i="6" l="1"/>
  <c r="O91" i="6" s="1"/>
  <c r="P71" i="6"/>
  <c r="P91" i="6" s="1"/>
  <c r="Q71" i="6"/>
  <c r="Q91" i="6" s="1"/>
  <c r="R71" i="6"/>
  <c r="R91" i="6" s="1"/>
  <c r="O74" i="6"/>
  <c r="O94" i="6" s="1"/>
  <c r="P74" i="6"/>
  <c r="P94" i="6" s="1"/>
  <c r="Q74" i="6"/>
  <c r="Q94" i="6" s="1"/>
  <c r="R74" i="6"/>
  <c r="R94" i="6" s="1"/>
  <c r="N74" i="6"/>
  <c r="N94" i="6" s="1"/>
  <c r="N71" i="6"/>
  <c r="N91" i="6" s="1"/>
  <c r="O73" i="6"/>
  <c r="O93" i="6" s="1"/>
  <c r="P73" i="6"/>
  <c r="P93" i="6" s="1"/>
  <c r="Q73" i="6"/>
  <c r="Q93" i="6" s="1"/>
  <c r="R73" i="6"/>
  <c r="R93" i="6" s="1"/>
  <c r="N73" i="6"/>
  <c r="N93" i="6" s="1"/>
  <c r="R72" i="6"/>
  <c r="R92" i="6" s="1"/>
  <c r="Q72" i="6"/>
  <c r="Q92" i="6" s="1"/>
  <c r="P72" i="6"/>
  <c r="P92" i="6" s="1"/>
  <c r="O72" i="6"/>
  <c r="O92" i="6" s="1"/>
  <c r="N72" i="6"/>
  <c r="N92" i="6" s="1"/>
  <c r="E70" i="6" l="1"/>
  <c r="E85" i="6" s="1"/>
  <c r="F70" i="6"/>
  <c r="F85" i="6" s="1"/>
  <c r="B22" i="12" l="1"/>
  <c r="N99" i="6" s="1"/>
  <c r="O99" i="6" s="1"/>
  <c r="B11" i="12"/>
  <c r="B6" i="12"/>
  <c r="B7" i="12" s="1"/>
  <c r="B8" i="12" s="1"/>
  <c r="B12" i="12" s="1"/>
  <c r="N96" i="6" s="1"/>
  <c r="O96" i="6" s="1"/>
  <c r="P96" i="6" s="1"/>
  <c r="Q96" i="6" s="1"/>
  <c r="R96" i="6" s="1"/>
  <c r="J4" i="12"/>
  <c r="J3" i="12"/>
  <c r="V24" i="10"/>
  <c r="V25" i="10" s="1"/>
  <c r="N75" i="6" s="1"/>
  <c r="V22" i="10"/>
  <c r="V23" i="10"/>
  <c r="V8" i="10"/>
  <c r="V18" i="10" s="1"/>
  <c r="V9" i="10"/>
  <c r="V10" i="10"/>
  <c r="V11" i="10"/>
  <c r="V12" i="10"/>
  <c r="V13" i="10"/>
  <c r="V14" i="10"/>
  <c r="V15" i="10"/>
  <c r="V16" i="10"/>
  <c r="V7" i="10"/>
  <c r="S2791" i="10"/>
  <c r="N95" i="6" l="1"/>
  <c r="O75" i="6"/>
  <c r="P99" i="6"/>
  <c r="Q99" i="6" s="1"/>
  <c r="R99" i="6" s="1"/>
  <c r="O95" i="6" l="1"/>
  <c r="P75" i="6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7" i="10"/>
  <c r="P95" i="6" l="1"/>
  <c r="Q75" i="6"/>
  <c r="E50" i="9"/>
  <c r="E49" i="9"/>
  <c r="E48" i="9"/>
  <c r="H40" i="9"/>
  <c r="H39" i="9"/>
  <c r="H38" i="9"/>
  <c r="K40" i="9"/>
  <c r="J40" i="9"/>
  <c r="I40" i="9"/>
  <c r="F40" i="9"/>
  <c r="E40" i="9"/>
  <c r="K39" i="9"/>
  <c r="J39" i="9"/>
  <c r="I39" i="9"/>
  <c r="F39" i="9"/>
  <c r="E39" i="9"/>
  <c r="K38" i="9"/>
  <c r="J38" i="9"/>
  <c r="I38" i="9"/>
  <c r="F38" i="9"/>
  <c r="E38" i="9"/>
  <c r="G17" i="9"/>
  <c r="M39" i="9"/>
  <c r="F19" i="9"/>
  <c r="E18" i="9"/>
  <c r="E9" i="9"/>
  <c r="E52" i="9" s="1"/>
  <c r="E8" i="9"/>
  <c r="E51" i="9" s="1"/>
  <c r="B13" i="6"/>
  <c r="C9" i="6"/>
  <c r="D9" i="6"/>
  <c r="E9" i="6"/>
  <c r="F9" i="6"/>
  <c r="B9" i="6"/>
  <c r="I62" i="6"/>
  <c r="J62" i="6"/>
  <c r="K62" i="6"/>
  <c r="L62" i="6"/>
  <c r="H62" i="6"/>
  <c r="I46" i="6"/>
  <c r="J46" i="6"/>
  <c r="K46" i="6"/>
  <c r="L46" i="6"/>
  <c r="H46" i="6"/>
  <c r="C52" i="6"/>
  <c r="D52" i="6"/>
  <c r="E52" i="6"/>
  <c r="F52" i="6"/>
  <c r="B52" i="6"/>
  <c r="C46" i="6"/>
  <c r="D46" i="6"/>
  <c r="E46" i="6"/>
  <c r="F46" i="6"/>
  <c r="B46" i="6"/>
  <c r="R75" i="6" l="1"/>
  <c r="R95" i="6" s="1"/>
  <c r="Q95" i="6"/>
  <c r="N39" i="9"/>
  <c r="G59" i="9" s="1"/>
  <c r="G40" i="9"/>
  <c r="N40" i="9" s="1"/>
  <c r="M40" i="9"/>
  <c r="E60" i="9" s="1"/>
  <c r="G16" i="9"/>
  <c r="F18" i="9"/>
  <c r="F59" i="9"/>
  <c r="H19" i="9"/>
  <c r="H18" i="9"/>
  <c r="E19" i="9"/>
  <c r="E59" i="9"/>
  <c r="O19" i="6"/>
  <c r="P19" i="6"/>
  <c r="Q19" i="6"/>
  <c r="R19" i="6"/>
  <c r="N19" i="6"/>
  <c r="O20" i="6"/>
  <c r="P20" i="6"/>
  <c r="Q20" i="6"/>
  <c r="R20" i="6"/>
  <c r="N20" i="6"/>
  <c r="O17" i="6"/>
  <c r="P17" i="6"/>
  <c r="Q17" i="6"/>
  <c r="R17" i="6"/>
  <c r="N17" i="6"/>
  <c r="O15" i="6"/>
  <c r="P15" i="6"/>
  <c r="Q15" i="6"/>
  <c r="R15" i="6"/>
  <c r="N15" i="6"/>
  <c r="O12" i="6"/>
  <c r="P12" i="6"/>
  <c r="Q12" i="6"/>
  <c r="R12" i="6"/>
  <c r="N12" i="6"/>
  <c r="O11" i="6"/>
  <c r="P11" i="6"/>
  <c r="Q11" i="6"/>
  <c r="R11" i="6"/>
  <c r="N11" i="6"/>
  <c r="L37" i="6"/>
  <c r="R37" i="6" s="1"/>
  <c r="K37" i="6"/>
  <c r="K38" i="6" s="1"/>
  <c r="J37" i="6"/>
  <c r="J38" i="6" s="1"/>
  <c r="I37" i="6"/>
  <c r="O37" i="6" s="1"/>
  <c r="N42" i="6"/>
  <c r="O42" i="6"/>
  <c r="P42" i="6"/>
  <c r="Q42" i="6"/>
  <c r="R42" i="6"/>
  <c r="N43" i="6"/>
  <c r="O43" i="6"/>
  <c r="P43" i="6"/>
  <c r="Q43" i="6"/>
  <c r="R43" i="6"/>
  <c r="N44" i="6"/>
  <c r="O44" i="6"/>
  <c r="P44" i="6"/>
  <c r="Q44" i="6"/>
  <c r="R44" i="6"/>
  <c r="N45" i="6"/>
  <c r="O45" i="6"/>
  <c r="P45" i="6"/>
  <c r="Q45" i="6"/>
  <c r="R45" i="6"/>
  <c r="H37" i="6"/>
  <c r="H38" i="6" s="1"/>
  <c r="N25" i="6"/>
  <c r="O25" i="6"/>
  <c r="P25" i="6"/>
  <c r="Q25" i="6"/>
  <c r="R25" i="6"/>
  <c r="N26" i="6"/>
  <c r="O26" i="6"/>
  <c r="P26" i="6"/>
  <c r="Q26" i="6"/>
  <c r="R26" i="6"/>
  <c r="N27" i="6"/>
  <c r="O27" i="6"/>
  <c r="P27" i="6"/>
  <c r="Q27" i="6"/>
  <c r="R27" i="6"/>
  <c r="N28" i="6"/>
  <c r="O28" i="6"/>
  <c r="P28" i="6"/>
  <c r="Q28" i="6"/>
  <c r="R28" i="6"/>
  <c r="O24" i="6"/>
  <c r="P24" i="6"/>
  <c r="Q24" i="6"/>
  <c r="R24" i="6"/>
  <c r="H29" i="6"/>
  <c r="I29" i="6"/>
  <c r="J29" i="6"/>
  <c r="K29" i="6"/>
  <c r="L29" i="6"/>
  <c r="N31" i="6"/>
  <c r="O31" i="6"/>
  <c r="P31" i="6"/>
  <c r="Q31" i="6"/>
  <c r="R31" i="6"/>
  <c r="N32" i="6"/>
  <c r="O32" i="6"/>
  <c r="P32" i="6"/>
  <c r="Q32" i="6"/>
  <c r="R32" i="6"/>
  <c r="N33" i="6"/>
  <c r="O33" i="6"/>
  <c r="P33" i="6"/>
  <c r="Q33" i="6"/>
  <c r="R33" i="6"/>
  <c r="N34" i="6"/>
  <c r="O34" i="6"/>
  <c r="P34" i="6"/>
  <c r="Q34" i="6"/>
  <c r="R34" i="6"/>
  <c r="N35" i="6"/>
  <c r="O35" i="6"/>
  <c r="P35" i="6"/>
  <c r="Q35" i="6"/>
  <c r="R35" i="6"/>
  <c r="N36" i="6"/>
  <c r="O36" i="6"/>
  <c r="P36" i="6"/>
  <c r="Q36" i="6"/>
  <c r="R36" i="6"/>
  <c r="N48" i="6"/>
  <c r="O48" i="6"/>
  <c r="P48" i="6"/>
  <c r="Q48" i="6"/>
  <c r="R48" i="6"/>
  <c r="N49" i="6"/>
  <c r="O49" i="6"/>
  <c r="P49" i="6"/>
  <c r="Q49" i="6"/>
  <c r="R49" i="6"/>
  <c r="N50" i="6"/>
  <c r="O50" i="6"/>
  <c r="P50" i="6"/>
  <c r="Q50" i="6"/>
  <c r="R50" i="6"/>
  <c r="N51" i="6"/>
  <c r="O51" i="6"/>
  <c r="P51" i="6"/>
  <c r="Q51" i="6"/>
  <c r="R51" i="6"/>
  <c r="H52" i="6"/>
  <c r="I52" i="6"/>
  <c r="J52" i="6"/>
  <c r="K52" i="6"/>
  <c r="L52" i="6"/>
  <c r="H57" i="6"/>
  <c r="N57" i="6" s="1"/>
  <c r="I57" i="6"/>
  <c r="O57" i="6" s="1"/>
  <c r="J57" i="6"/>
  <c r="P57" i="6" s="1"/>
  <c r="K57" i="6"/>
  <c r="Q57" i="6" s="1"/>
  <c r="L57" i="6"/>
  <c r="R57" i="6" s="1"/>
  <c r="N58" i="6"/>
  <c r="O58" i="6"/>
  <c r="P58" i="6"/>
  <c r="Q58" i="6"/>
  <c r="R58" i="6"/>
  <c r="N59" i="6"/>
  <c r="O59" i="6"/>
  <c r="P59" i="6"/>
  <c r="Q59" i="6"/>
  <c r="R59" i="6"/>
  <c r="N60" i="6"/>
  <c r="O60" i="6"/>
  <c r="P60" i="6"/>
  <c r="Q60" i="6"/>
  <c r="R60" i="6"/>
  <c r="H22" i="8"/>
  <c r="H23" i="8"/>
  <c r="H24" i="8"/>
  <c r="H27" i="8" s="1"/>
  <c r="H25" i="8"/>
  <c r="H26" i="8"/>
  <c r="E26" i="8"/>
  <c r="E25" i="8"/>
  <c r="E24" i="8"/>
  <c r="E23" i="8"/>
  <c r="E22" i="8"/>
  <c r="D3" i="8"/>
  <c r="J3" i="8" s="1"/>
  <c r="D4" i="8"/>
  <c r="J4" i="8" s="1"/>
  <c r="D5" i="8"/>
  <c r="J5" i="8" s="1"/>
  <c r="D6" i="8"/>
  <c r="J6" i="8" s="1"/>
  <c r="D7" i="8"/>
  <c r="J7" i="8" s="1"/>
  <c r="D8" i="8"/>
  <c r="J8" i="8" s="1"/>
  <c r="D9" i="8"/>
  <c r="J9" i="8" s="1"/>
  <c r="D10" i="8"/>
  <c r="J10" i="8" s="1"/>
  <c r="D11" i="8"/>
  <c r="J11" i="8" s="1"/>
  <c r="D12" i="8"/>
  <c r="J12" i="8" s="1"/>
  <c r="D13" i="8"/>
  <c r="J13" i="8" s="1"/>
  <c r="D14" i="8"/>
  <c r="J14" i="8" s="1"/>
  <c r="D15" i="8"/>
  <c r="J15" i="8" s="1"/>
  <c r="D16" i="8"/>
  <c r="J16" i="8" s="1"/>
  <c r="D17" i="8"/>
  <c r="J17" i="8" s="1"/>
  <c r="D18" i="8"/>
  <c r="J18" i="8" s="1"/>
  <c r="D19" i="8"/>
  <c r="J19" i="8" s="1"/>
  <c r="D20" i="8"/>
  <c r="J20" i="8" s="1"/>
  <c r="D21" i="8"/>
  <c r="J21" i="8" s="1"/>
  <c r="D22" i="8"/>
  <c r="J22" i="8" s="1"/>
  <c r="D23" i="8"/>
  <c r="J23" i="8" s="1"/>
  <c r="D24" i="8"/>
  <c r="J24" i="8" s="1"/>
  <c r="D25" i="8"/>
  <c r="J25" i="8" s="1"/>
  <c r="D26" i="8"/>
  <c r="J26" i="8" s="1"/>
  <c r="D2" i="8"/>
  <c r="J2" i="8" s="1"/>
  <c r="G60" i="9" l="1"/>
  <c r="S12" i="6"/>
  <c r="S19" i="6"/>
  <c r="H40" i="6"/>
  <c r="F60" i="9"/>
  <c r="S49" i="6"/>
  <c r="R52" i="6"/>
  <c r="L54" i="6"/>
  <c r="L64" i="6" s="1"/>
  <c r="K40" i="6"/>
  <c r="O52" i="6"/>
  <c r="I54" i="6"/>
  <c r="I64" i="6" s="1"/>
  <c r="S44" i="6"/>
  <c r="Q52" i="6"/>
  <c r="K54" i="6"/>
  <c r="K64" i="6" s="1"/>
  <c r="J40" i="6"/>
  <c r="S27" i="6"/>
  <c r="N52" i="6"/>
  <c r="H54" i="6"/>
  <c r="H64" i="6" s="1"/>
  <c r="S32" i="6"/>
  <c r="P52" i="6"/>
  <c r="J54" i="6"/>
  <c r="J64" i="6" s="1"/>
  <c r="S20" i="6"/>
  <c r="S28" i="6"/>
  <c r="Q37" i="6"/>
  <c r="S59" i="6"/>
  <c r="S36" i="6"/>
  <c r="S60" i="6"/>
  <c r="S48" i="6"/>
  <c r="S24" i="6"/>
  <c r="I38" i="6"/>
  <c r="I40" i="6" s="1"/>
  <c r="P37" i="6"/>
  <c r="S51" i="6"/>
  <c r="S25" i="6"/>
  <c r="L38" i="6"/>
  <c r="L40" i="6" s="1"/>
  <c r="S33" i="6"/>
  <c r="S58" i="6"/>
  <c r="S26" i="6"/>
  <c r="S45" i="6"/>
  <c r="S42" i="6"/>
  <c r="S34" i="6"/>
  <c r="S31" i="6"/>
  <c r="S35" i="6"/>
  <c r="S50" i="6"/>
  <c r="S43" i="6"/>
  <c r="S57" i="6"/>
  <c r="N37" i="6"/>
  <c r="E27" i="8"/>
  <c r="I27" i="8"/>
  <c r="J27" i="8" s="1"/>
  <c r="H28" i="8"/>
  <c r="L55" i="6" l="1"/>
  <c r="K55" i="6"/>
  <c r="I55" i="6"/>
  <c r="J55" i="6"/>
  <c r="S52" i="6"/>
  <c r="S37" i="6"/>
  <c r="H55" i="6"/>
  <c r="K31" i="8"/>
  <c r="K30" i="8"/>
  <c r="K29" i="8"/>
  <c r="K28" i="8"/>
  <c r="K27" i="8"/>
  <c r="L27" i="8" s="1"/>
  <c r="U3" i="6" s="1"/>
  <c r="U57" i="6" s="1"/>
  <c r="D8" i="7" s="1"/>
  <c r="C9" i="7" s="1"/>
  <c r="I28" i="8"/>
  <c r="J28" i="8" s="1"/>
  <c r="H29" i="8"/>
  <c r="H30" i="8" s="1"/>
  <c r="U28" i="6" l="1"/>
  <c r="U36" i="6"/>
  <c r="U58" i="6"/>
  <c r="U60" i="6"/>
  <c r="U33" i="6"/>
  <c r="U48" i="6"/>
  <c r="U26" i="6"/>
  <c r="U31" i="6"/>
  <c r="U25" i="6"/>
  <c r="U45" i="6"/>
  <c r="U42" i="6"/>
  <c r="U32" i="6"/>
  <c r="U51" i="6"/>
  <c r="U34" i="6"/>
  <c r="U43" i="6"/>
  <c r="U44" i="6"/>
  <c r="L28" i="8"/>
  <c r="V3" i="6" s="1"/>
  <c r="V37" i="6" s="1"/>
  <c r="U50" i="6"/>
  <c r="U19" i="6"/>
  <c r="U12" i="6"/>
  <c r="U49" i="6"/>
  <c r="U27" i="6"/>
  <c r="U59" i="6"/>
  <c r="U37" i="6"/>
  <c r="H31" i="8"/>
  <c r="I29" i="8"/>
  <c r="N70" i="6" l="1"/>
  <c r="N90" i="6"/>
  <c r="U62" i="6"/>
  <c r="U52" i="6"/>
  <c r="U38" i="6"/>
  <c r="U46" i="6"/>
  <c r="B73" i="6"/>
  <c r="V19" i="6"/>
  <c r="V12" i="6"/>
  <c r="V49" i="6"/>
  <c r="V44" i="6"/>
  <c r="V42" i="6"/>
  <c r="V28" i="6"/>
  <c r="V50" i="6"/>
  <c r="V27" i="6"/>
  <c r="V59" i="6"/>
  <c r="V43" i="6"/>
  <c r="V33" i="6"/>
  <c r="V60" i="6"/>
  <c r="V32" i="6"/>
  <c r="V51" i="6"/>
  <c r="V34" i="6"/>
  <c r="V48" i="6"/>
  <c r="V45" i="6"/>
  <c r="V25" i="6"/>
  <c r="V31" i="6"/>
  <c r="V36" i="6"/>
  <c r="V26" i="6"/>
  <c r="V57" i="6"/>
  <c r="D9" i="7" s="1"/>
  <c r="C10" i="7" s="1"/>
  <c r="V58" i="6"/>
  <c r="I30" i="8"/>
  <c r="J30" i="8" s="1"/>
  <c r="L30" i="8" s="1"/>
  <c r="X3" i="6" s="1"/>
  <c r="J29" i="8"/>
  <c r="L29" i="8" s="1"/>
  <c r="W3" i="6" s="1"/>
  <c r="I31" i="8"/>
  <c r="J31" i="8" s="1"/>
  <c r="L31" i="8" s="1"/>
  <c r="Y3" i="6" s="1"/>
  <c r="O90" i="6" l="1"/>
  <c r="O70" i="6"/>
  <c r="B74" i="6"/>
  <c r="U54" i="6"/>
  <c r="U24" i="6" s="1"/>
  <c r="U29" i="6" s="1"/>
  <c r="B71" i="6" s="1"/>
  <c r="B86" i="6" s="1"/>
  <c r="C73" i="6"/>
  <c r="Y12" i="6"/>
  <c r="Y19" i="6"/>
  <c r="Y27" i="6"/>
  <c r="Y49" i="6"/>
  <c r="Y36" i="6"/>
  <c r="Y43" i="6"/>
  <c r="F73" i="6" s="1"/>
  <c r="Y59" i="6"/>
  <c r="Y33" i="6"/>
  <c r="Y26" i="6"/>
  <c r="Y60" i="6"/>
  <c r="Y34" i="6"/>
  <c r="Y57" i="6"/>
  <c r="D12" i="7" s="1"/>
  <c r="Y50" i="6"/>
  <c r="Y45" i="6"/>
  <c r="Y58" i="6"/>
  <c r="Y32" i="6"/>
  <c r="Y48" i="6"/>
  <c r="Y28" i="6"/>
  <c r="Y51" i="6"/>
  <c r="Y25" i="6"/>
  <c r="Y31" i="6"/>
  <c r="Y44" i="6"/>
  <c r="Y42" i="6"/>
  <c r="Y37" i="6"/>
  <c r="W19" i="6"/>
  <c r="W12" i="6"/>
  <c r="W49" i="6"/>
  <c r="W31" i="6"/>
  <c r="W50" i="6"/>
  <c r="W57" i="6"/>
  <c r="D10" i="7" s="1"/>
  <c r="C11" i="7" s="1"/>
  <c r="W44" i="6"/>
  <c r="W34" i="6"/>
  <c r="W36" i="6"/>
  <c r="W32" i="6"/>
  <c r="W26" i="6"/>
  <c r="W59" i="6"/>
  <c r="W42" i="6"/>
  <c r="W25" i="6"/>
  <c r="W43" i="6"/>
  <c r="W33" i="6"/>
  <c r="W58" i="6"/>
  <c r="W60" i="6"/>
  <c r="W28" i="6"/>
  <c r="W45" i="6"/>
  <c r="W48" i="6"/>
  <c r="W51" i="6"/>
  <c r="W27" i="6"/>
  <c r="W37" i="6"/>
  <c r="V46" i="6"/>
  <c r="V62" i="6"/>
  <c r="V38" i="6"/>
  <c r="V52" i="6"/>
  <c r="C74" i="6" s="1"/>
  <c r="C89" i="6" s="1"/>
  <c r="X12" i="6"/>
  <c r="X19" i="6"/>
  <c r="X27" i="6"/>
  <c r="X49" i="6"/>
  <c r="X57" i="6"/>
  <c r="D11" i="7" s="1"/>
  <c r="C12" i="7" s="1"/>
  <c r="X60" i="6"/>
  <c r="X51" i="6"/>
  <c r="X50" i="6"/>
  <c r="X42" i="6"/>
  <c r="X43" i="6"/>
  <c r="X32" i="6"/>
  <c r="X34" i="6"/>
  <c r="X25" i="6"/>
  <c r="X28" i="6"/>
  <c r="X33" i="6"/>
  <c r="X31" i="6"/>
  <c r="X59" i="6"/>
  <c r="X45" i="6"/>
  <c r="X44" i="6"/>
  <c r="X58" i="6"/>
  <c r="X36" i="6"/>
  <c r="X48" i="6"/>
  <c r="X26" i="6"/>
  <c r="X37" i="6"/>
  <c r="U64" i="6"/>
  <c r="N7" i="6"/>
  <c r="O7" i="6"/>
  <c r="P7" i="6"/>
  <c r="Q7" i="6"/>
  <c r="R7" i="6"/>
  <c r="O6" i="6"/>
  <c r="P6" i="6"/>
  <c r="Q6" i="6"/>
  <c r="R6" i="6"/>
  <c r="N6" i="6"/>
  <c r="D5" i="7"/>
  <c r="D4" i="7"/>
  <c r="D3" i="7"/>
  <c r="B6" i="7"/>
  <c r="E6" i="7" s="1"/>
  <c r="G6" i="7" s="1"/>
  <c r="F6" i="7" s="1"/>
  <c r="B5" i="7"/>
  <c r="B3" i="7"/>
  <c r="B4" i="7"/>
  <c r="Q90" i="6" l="1"/>
  <c r="Q70" i="6"/>
  <c r="R90" i="6"/>
  <c r="R70" i="6"/>
  <c r="P90" i="6"/>
  <c r="P70" i="6"/>
  <c r="X62" i="6"/>
  <c r="Y62" i="6"/>
  <c r="D73" i="6"/>
  <c r="V54" i="6"/>
  <c r="V24" i="6" s="1"/>
  <c r="V29" i="6" s="1"/>
  <c r="C71" i="6" s="1"/>
  <c r="C86" i="6" s="1"/>
  <c r="X46" i="6"/>
  <c r="W38" i="6"/>
  <c r="E73" i="6"/>
  <c r="W46" i="6"/>
  <c r="Y46" i="6"/>
  <c r="Y38" i="6"/>
  <c r="X38" i="6"/>
  <c r="W62" i="6"/>
  <c r="Y52" i="6"/>
  <c r="W52" i="6"/>
  <c r="X52" i="6"/>
  <c r="S6" i="6"/>
  <c r="S7" i="6"/>
  <c r="E7" i="7"/>
  <c r="E5" i="7"/>
  <c r="G5" i="7" s="1"/>
  <c r="F5" i="7" s="1"/>
  <c r="E4" i="7"/>
  <c r="G4" i="7" s="1"/>
  <c r="F4" i="7" s="1"/>
  <c r="E3" i="7"/>
  <c r="G3" i="7" s="1"/>
  <c r="F3" i="7" s="1"/>
  <c r="C62" i="6"/>
  <c r="D62" i="6"/>
  <c r="E62" i="6"/>
  <c r="F62" i="6"/>
  <c r="B62" i="6"/>
  <c r="E38" i="6"/>
  <c r="F38" i="6"/>
  <c r="D38" i="6"/>
  <c r="C38" i="6"/>
  <c r="B38" i="6"/>
  <c r="O3" i="6"/>
  <c r="P3" i="6"/>
  <c r="Q3" i="6"/>
  <c r="R3" i="6"/>
  <c r="G7" i="7" l="1"/>
  <c r="F7" i="7" s="1"/>
  <c r="Y54" i="6"/>
  <c r="V64" i="6"/>
  <c r="E72" i="6"/>
  <c r="Y24" i="6"/>
  <c r="Y29" i="6" s="1"/>
  <c r="E87" i="6"/>
  <c r="F72" i="6"/>
  <c r="X54" i="6"/>
  <c r="X24" i="6" s="1"/>
  <c r="X29" i="6" s="1"/>
  <c r="E71" i="6" s="1"/>
  <c r="E86" i="6" s="1"/>
  <c r="E74" i="6"/>
  <c r="E89" i="6" s="1"/>
  <c r="W54" i="6"/>
  <c r="W24" i="6" s="1"/>
  <c r="W29" i="6" s="1"/>
  <c r="D71" i="6" s="1"/>
  <c r="D86" i="6" s="1"/>
  <c r="D74" i="6"/>
  <c r="D89" i="6" s="1"/>
  <c r="F74" i="6"/>
  <c r="F89" i="6" s="1"/>
  <c r="Y64" i="6"/>
  <c r="X7" i="6"/>
  <c r="W7" i="6"/>
  <c r="U7" i="6"/>
  <c r="Y7" i="6"/>
  <c r="V7" i="6"/>
  <c r="V6" i="6"/>
  <c r="C70" i="6" s="1"/>
  <c r="W6" i="6"/>
  <c r="D70" i="6" s="1"/>
  <c r="D85" i="6" s="1"/>
  <c r="U6" i="6"/>
  <c r="B70" i="6" s="1"/>
  <c r="X6" i="6"/>
  <c r="Y6" i="6"/>
  <c r="S11" i="6"/>
  <c r="S17" i="6"/>
  <c r="S15" i="6"/>
  <c r="S3" i="6"/>
  <c r="X64" i="6" l="1"/>
  <c r="B85" i="6"/>
  <c r="B72" i="6"/>
  <c r="B87" i="6" s="1"/>
  <c r="C85" i="6"/>
  <c r="C72" i="6"/>
  <c r="C87" i="6" s="1"/>
  <c r="F87" i="6"/>
  <c r="D72" i="6"/>
  <c r="W64" i="6"/>
  <c r="F71" i="6"/>
  <c r="F86" i="6" s="1"/>
  <c r="Y11" i="6"/>
  <c r="U11" i="6"/>
  <c r="W11" i="6"/>
  <c r="X11" i="6"/>
  <c r="V11" i="6"/>
  <c r="Y4" i="6"/>
  <c r="Y5" i="6" s="1"/>
  <c r="X4" i="6"/>
  <c r="X5" i="6" s="1"/>
  <c r="U4" i="6"/>
  <c r="U5" i="6" s="1"/>
  <c r="W4" i="6"/>
  <c r="W5" i="6" s="1"/>
  <c r="V4" i="6"/>
  <c r="V5" i="6" s="1"/>
  <c r="D87" i="6" l="1"/>
  <c r="W9" i="6"/>
  <c r="W13" i="6"/>
  <c r="Y9" i="6"/>
  <c r="Y13" i="6"/>
  <c r="V9" i="6"/>
  <c r="V13" i="6"/>
  <c r="U9" i="6"/>
  <c r="U13" i="6"/>
  <c r="X9" i="6"/>
  <c r="X13" i="6"/>
  <c r="C54" i="6"/>
  <c r="C64" i="6" s="1"/>
  <c r="D54" i="6"/>
  <c r="D64" i="6" s="1"/>
  <c r="E54" i="6"/>
  <c r="E64" i="6" s="1"/>
  <c r="F54" i="6"/>
  <c r="F64" i="6" s="1"/>
  <c r="B54" i="6"/>
  <c r="C29" i="6"/>
  <c r="C40" i="6" s="1"/>
  <c r="D29" i="6"/>
  <c r="D40" i="6" s="1"/>
  <c r="E29" i="6"/>
  <c r="E40" i="6" s="1"/>
  <c r="F29" i="6"/>
  <c r="F40" i="6" s="1"/>
  <c r="B29" i="6"/>
  <c r="B40" i="6" s="1"/>
  <c r="U15" i="6" l="1"/>
  <c r="V15" i="6"/>
  <c r="O98" i="6" s="1"/>
  <c r="X15" i="6"/>
  <c r="W15" i="6"/>
  <c r="P98" i="6" s="1"/>
  <c r="Y15" i="6"/>
  <c r="R98" i="6" s="1"/>
  <c r="E55" i="6"/>
  <c r="F55" i="6"/>
  <c r="D55" i="6"/>
  <c r="C55" i="6"/>
  <c r="B64" i="6"/>
  <c r="B55" i="6"/>
  <c r="E88" i="6" l="1"/>
  <c r="Q98" i="6"/>
  <c r="B88" i="6"/>
  <c r="N98" i="6"/>
  <c r="U17" i="6"/>
  <c r="V17" i="6"/>
  <c r="V20" i="6" s="1"/>
  <c r="B9" i="7" s="1"/>
  <c r="E9" i="7" s="1"/>
  <c r="G9" i="7" s="1"/>
  <c r="F9" i="7" s="1"/>
  <c r="Y17" i="6"/>
  <c r="Y20" i="6" s="1"/>
  <c r="B12" i="7" s="1"/>
  <c r="E12" i="7" s="1"/>
  <c r="G12" i="7" s="1"/>
  <c r="F12" i="7" s="1"/>
  <c r="F88" i="6"/>
  <c r="W17" i="6"/>
  <c r="W20" i="6" s="1"/>
  <c r="B10" i="7" s="1"/>
  <c r="E10" i="7" s="1"/>
  <c r="G10" i="7" s="1"/>
  <c r="F10" i="7" s="1"/>
  <c r="D88" i="6"/>
  <c r="X17" i="6"/>
  <c r="X20" i="6" s="1"/>
  <c r="B11" i="7" s="1"/>
  <c r="E11" i="7" s="1"/>
  <c r="G11" i="7" s="1"/>
  <c r="F11" i="7" s="1"/>
  <c r="B84" i="6" l="1"/>
  <c r="B90" i="6" s="1"/>
  <c r="N89" i="6" s="1"/>
  <c r="N100" i="6" s="1"/>
  <c r="U20" i="6"/>
  <c r="B8" i="7" s="1"/>
  <c r="E8" i="7" s="1"/>
  <c r="G8" i="7" s="1"/>
  <c r="B69" i="6"/>
  <c r="B75" i="6" s="1"/>
  <c r="N69" i="6" s="1"/>
  <c r="N76" i="6" s="1"/>
  <c r="E84" i="6"/>
  <c r="E90" i="6" s="1"/>
  <c r="Q89" i="6" s="1"/>
  <c r="Q100" i="6" s="1"/>
  <c r="E69" i="6"/>
  <c r="E75" i="6" s="1"/>
  <c r="Q69" i="6" s="1"/>
  <c r="Q76" i="6" s="1"/>
  <c r="D84" i="6"/>
  <c r="D90" i="6" s="1"/>
  <c r="P89" i="6" s="1"/>
  <c r="P100" i="6" s="1"/>
  <c r="D69" i="6"/>
  <c r="D75" i="6" s="1"/>
  <c r="P69" i="6" s="1"/>
  <c r="P76" i="6" s="1"/>
  <c r="F84" i="6"/>
  <c r="F90" i="6" s="1"/>
  <c r="R89" i="6" s="1"/>
  <c r="R100" i="6" s="1"/>
  <c r="F69" i="6"/>
  <c r="F75" i="6" s="1"/>
  <c r="R69" i="6" s="1"/>
  <c r="C84" i="6"/>
  <c r="C90" i="6" s="1"/>
  <c r="O89" i="6" s="1"/>
  <c r="O100" i="6" s="1"/>
  <c r="C69" i="6"/>
  <c r="C75" i="6" s="1"/>
  <c r="O69" i="6" s="1"/>
  <c r="O76" i="6" s="1"/>
  <c r="S78" i="6" l="1"/>
  <c r="S79" i="6" s="1"/>
  <c r="S80" i="6" s="1"/>
  <c r="S82" i="6" s="1"/>
  <c r="R76" i="6"/>
  <c r="S101" i="6"/>
  <c r="S103" i="6" s="1"/>
  <c r="G27" i="9"/>
  <c r="F8" i="7"/>
  <c r="M38" i="9" l="1"/>
  <c r="G38" i="9"/>
  <c r="N38" i="9" s="1"/>
  <c r="G15" i="9"/>
  <c r="G18" i="9" l="1"/>
  <c r="G19" i="9"/>
  <c r="F58" i="9"/>
  <c r="E58" i="9"/>
  <c r="G58" i="9"/>
  <c r="G62" i="9" l="1"/>
  <c r="G61" i="9"/>
  <c r="E62" i="9"/>
  <c r="E61" i="9"/>
  <c r="F61" i="9"/>
  <c r="F62" i="9"/>
</calcChain>
</file>

<file path=xl/sharedStrings.xml><?xml version="1.0" encoding="utf-8"?>
<sst xmlns="http://schemas.openxmlformats.org/spreadsheetml/2006/main" count="409" uniqueCount="256">
  <si>
    <t>Current Assets</t>
  </si>
  <si>
    <t>Cash &amp; Cash Equivalents</t>
  </si>
  <si>
    <t>Loans &amp; Receivables - Net - Short-Term</t>
  </si>
  <si>
    <t>Trade Accounts &amp; Trade Notes Receivable - Net</t>
  </si>
  <si>
    <t>Provision - Trade Accounts &amp; Trade Notes Receivable</t>
  </si>
  <si>
    <t>Inventories - Total</t>
  </si>
  <si>
    <t>Total Current Assets</t>
  </si>
  <si>
    <t>Non-Current Assets</t>
  </si>
  <si>
    <t>Investments - Long-Term</t>
  </si>
  <si>
    <t>Receivables &amp; Loans - Long-Term</t>
  </si>
  <si>
    <t>Other Non-Current Assets - Total</t>
  </si>
  <si>
    <t>Deferred Tax - Asset - Long-Term</t>
  </si>
  <si>
    <t>Goodwill/Cost in Excess of Assets Purchased - Net</t>
  </si>
  <si>
    <t>Intangible Assets - excluding Goodwill - Net - Total</t>
  </si>
  <si>
    <t>Total Non-Current Assets</t>
  </si>
  <si>
    <t>Total Assets</t>
  </si>
  <si>
    <t>Current Liabilities</t>
  </si>
  <si>
    <t>Trade Accounts Payable &amp; Accruals - Short-Term</t>
  </si>
  <si>
    <t>Short-Term Debt &amp; Current Portion of Long-Term Debt</t>
  </si>
  <si>
    <t>Income Taxes - Payable - Short-Term</t>
  </si>
  <si>
    <t>Other Current Liabilities</t>
  </si>
  <si>
    <t>Total Current Liabilities</t>
  </si>
  <si>
    <t>Non-Current Liabilities</t>
  </si>
  <si>
    <t>Debt - Long-Term - Total</t>
  </si>
  <si>
    <t>Deferred Tax - Liability - Long-Term</t>
  </si>
  <si>
    <t>Post Employment Benefits - Pension &amp; Other - Long-Term</t>
  </si>
  <si>
    <t>Other Non-Current Liabilities</t>
  </si>
  <si>
    <t>Total Non-Current Liabilities</t>
  </si>
  <si>
    <t>Total Liabilities</t>
  </si>
  <si>
    <t>Shareholders' Equity</t>
  </si>
  <si>
    <t>Retained Earnings - Total</t>
  </si>
  <si>
    <t>Comprehensive Income - Accumulated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</si>
  <si>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</si>
  <si>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</si>
  <si>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</si>
  <si>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</si>
  <si>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</si>
  <si>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</si>
  <si>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Operating Profit</t>
  </si>
  <si>
    <t>Non-Operating Expenses</t>
  </si>
  <si>
    <t>Non-Recurring Adjustments - Non-Operating- Decrease/(Increase)</t>
  </si>
  <si>
    <t>Normalized Pre-tax Profit</t>
  </si>
  <si>
    <t>Taxes</t>
  </si>
  <si>
    <t>Income Taxes</t>
  </si>
  <si>
    <t>Net Income After Tax</t>
  </si>
  <si>
    <t>Net Income after Tax</t>
  </si>
  <si>
    <t>After Tax Income/Expense</t>
  </si>
  <si>
    <t>Minority Interest</t>
  </si>
  <si>
    <t>Net Income</t>
  </si>
  <si>
    <t>INCOME STATEMENT</t>
  </si>
  <si>
    <t>EBIT</t>
  </si>
  <si>
    <t>2020 Adjusted</t>
  </si>
  <si>
    <t>2021 Adjusted</t>
  </si>
  <si>
    <t>2022 Adjusted</t>
  </si>
  <si>
    <t>2023 Adjusted</t>
  </si>
  <si>
    <t>No adjustments for Income Statement</t>
  </si>
  <si>
    <t>2023      (% Rev)</t>
  </si>
  <si>
    <t xml:space="preserve">Average </t>
  </si>
  <si>
    <t>2024 Adjusted</t>
  </si>
  <si>
    <t>Balance sheet</t>
  </si>
  <si>
    <t>2024      (% Rev)</t>
  </si>
  <si>
    <t>2022      (% Rev)</t>
  </si>
  <si>
    <t>2021       (% Rev)</t>
  </si>
  <si>
    <t>2020       (% Rev)</t>
  </si>
  <si>
    <t>2023       (% Rev)</t>
  </si>
  <si>
    <t xml:space="preserve">Operating Expenses </t>
  </si>
  <si>
    <t>Student Name</t>
  </si>
  <si>
    <t>Student ID</t>
  </si>
  <si>
    <t>2024     (% Rev)</t>
  </si>
  <si>
    <t>2022     (% Rev)</t>
  </si>
  <si>
    <t>2021     (% Rev)</t>
  </si>
  <si>
    <t>2020     (% Rev)</t>
  </si>
  <si>
    <t>Dividend calculation</t>
  </si>
  <si>
    <t>DPR=1-r</t>
  </si>
  <si>
    <t>Year</t>
  </si>
  <si>
    <t>Earnings</t>
  </si>
  <si>
    <t>RE (t-1)</t>
  </si>
  <si>
    <t>RE (t)</t>
  </si>
  <si>
    <t>Div Dist</t>
  </si>
  <si>
    <t>Retention Ratio</t>
  </si>
  <si>
    <t>Dividend payout ratio</t>
  </si>
  <si>
    <t>Assumed min 0% and max 100% as per instruction manual</t>
  </si>
  <si>
    <t>Depriciation</t>
  </si>
  <si>
    <t xml:space="preserve">Amortization </t>
  </si>
  <si>
    <t>Nominal Operating Revenue</t>
  </si>
  <si>
    <t>CPI</t>
  </si>
  <si>
    <t>Real Operating Revenue</t>
  </si>
  <si>
    <t>CPI Growth</t>
  </si>
  <si>
    <t>Real GDP      ($ million)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</si>
  <si>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</si>
  <si>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</si>
  <si>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</si>
  <si>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</si>
  <si>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</si>
  <si>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</si>
  <si>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</si>
  <si>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</si>
  <si>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</si>
  <si>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</si>
  <si>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</si>
  <si>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</si>
  <si>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</si>
  <si>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</si>
  <si>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</si>
  <si>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</si>
  <si>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</si>
  <si>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</si>
  <si>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</si>
  <si>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</si>
  <si>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</si>
  <si>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</si>
  <si>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</si>
  <si>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</si>
  <si>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</si>
  <si>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Inflation</t>
  </si>
  <si>
    <t>GDP growth</t>
  </si>
  <si>
    <t>2025 F</t>
  </si>
  <si>
    <t>2026 F</t>
  </si>
  <si>
    <t>2028 F</t>
  </si>
  <si>
    <t>2027 F</t>
  </si>
  <si>
    <t>2029 F</t>
  </si>
  <si>
    <t>Operating Revenue</t>
  </si>
  <si>
    <t xml:space="preserve">Taking the past 5 year average GDP </t>
  </si>
  <si>
    <t>PPE</t>
  </si>
  <si>
    <t>Net Assets</t>
  </si>
  <si>
    <t>EBITDA</t>
  </si>
  <si>
    <t>Interest Expense</t>
  </si>
  <si>
    <t xml:space="preserve">Market Capitalisation </t>
  </si>
  <si>
    <t>Company</t>
  </si>
  <si>
    <t>ASX Code</t>
  </si>
  <si>
    <t>Market Capitalisation (AUD)</t>
  </si>
  <si>
    <t>Sonic Healthcare Ltd</t>
  </si>
  <si>
    <t>SHL</t>
  </si>
  <si>
    <t>Ramsay Healthcare Ltd</t>
  </si>
  <si>
    <t>RHC</t>
  </si>
  <si>
    <t>Healius Ltd</t>
  </si>
  <si>
    <t>HLS</t>
  </si>
  <si>
    <t>Mean</t>
  </si>
  <si>
    <t xml:space="preserve">Median </t>
  </si>
  <si>
    <t xml:space="preserve">Peer Ratios (Outputs) </t>
  </si>
  <si>
    <t>Trailing P/E Ratio</t>
  </si>
  <si>
    <t>Leading P/E Ratio</t>
  </si>
  <si>
    <t xml:space="preserve">PEG Ratio </t>
  </si>
  <si>
    <t>Median</t>
  </si>
  <si>
    <t xml:space="preserve">Overvalued </t>
  </si>
  <si>
    <t>Overvalued</t>
  </si>
  <si>
    <t>Formula Description</t>
  </si>
  <si>
    <t>P / EPS</t>
  </si>
  <si>
    <t>P / Forecasted EPS</t>
  </si>
  <si>
    <r>
      <rPr>
        <b/>
        <sz val="11"/>
        <color theme="1"/>
        <rFont val="Calibri"/>
        <family val="2"/>
        <scheme val="minor"/>
      </rPr>
      <t>Trailing P/E/ g</t>
    </r>
    <r>
      <rPr>
        <sz val="11"/>
        <color rgb="FF000000"/>
        <rFont val="Calibri"/>
        <family val="2"/>
      </rPr>
      <t xml:space="preserve">
B = 1-DPR
g = B x ROE
Thus, Trailing P/E Ratio * g</t>
    </r>
  </si>
  <si>
    <t>P / BVPS</t>
  </si>
  <si>
    <t>Peer Ratios (Inputs) - For Appendix</t>
  </si>
  <si>
    <t>EPS</t>
  </si>
  <si>
    <t>Forecasted EPS (2024)</t>
  </si>
  <si>
    <t xml:space="preserve">Dividend Payout Ratio </t>
  </si>
  <si>
    <t>ROE</t>
  </si>
  <si>
    <t>Equity</t>
  </si>
  <si>
    <t>Outstanding Shares</t>
  </si>
  <si>
    <t>Book Value Per Share</t>
  </si>
  <si>
    <t xml:space="preserve"> </t>
  </si>
  <si>
    <t>Fundamental Ratios (Inputs) - For Appendix</t>
  </si>
  <si>
    <t xml:space="preserve">Cost of Equity </t>
  </si>
  <si>
    <r>
      <t>Growth Rate (</t>
    </r>
    <r>
      <rPr>
        <b/>
        <i/>
        <sz val="11"/>
        <color theme="1"/>
        <rFont val="Calibri"/>
        <family val="2"/>
      </rPr>
      <t>g</t>
    </r>
    <r>
      <rPr>
        <b/>
        <i/>
        <vertAlign val="subscript"/>
        <sz val="11"/>
        <color theme="1"/>
        <rFont val="Calibri"/>
        <family val="2"/>
      </rPr>
      <t>h</t>
    </r>
    <r>
      <rPr>
        <b/>
        <i/>
        <sz val="11"/>
        <color theme="1"/>
        <rFont val="Calibri"/>
        <family val="2"/>
      </rPr>
      <t>)</t>
    </r>
  </si>
  <si>
    <r>
      <t>Sustainable Growth Rate (g</t>
    </r>
    <r>
      <rPr>
        <b/>
        <vertAlign val="subscript"/>
        <sz val="11"/>
        <color theme="1"/>
        <rFont val="Calibri"/>
        <family val="2"/>
      </rPr>
      <t>s</t>
    </r>
    <r>
      <rPr>
        <b/>
        <sz val="11"/>
        <color theme="1"/>
        <rFont val="Calibri"/>
        <family val="2"/>
      </rPr>
      <t>)</t>
    </r>
  </si>
  <si>
    <t>Trailing Fundamental PE</t>
  </si>
  <si>
    <t xml:space="preserve">2 Stage Fundamental P/E Model **Assuming 3% Growth after 10 years </t>
  </si>
  <si>
    <t>Fundamental H Model</t>
  </si>
  <si>
    <t>((1-b)(1+g))/(re-g)
re = cost of equity 
B = 1-DPR
g = B x ROE</t>
  </si>
  <si>
    <t>((1-b)(1+gh))((1-((1+gh)/(1+re))^n)/(re-gh))+((1-b)(1+gh)^n(1+gs))/(re-gs)+1/(1+re)^n</t>
  </si>
  <si>
    <t>(DPS0*H(gh-gs)+DPS0(1+gs)/(re-gs)</t>
  </si>
  <si>
    <t>As at 02/06/2025</t>
  </si>
  <si>
    <t>Source: Refinitiv Workspace &amp; Yahoo finance</t>
  </si>
  <si>
    <t>Sonic Healthcare Ltd - Relative Valuation</t>
  </si>
  <si>
    <t xml:space="preserve"> P/B Ratio</t>
  </si>
  <si>
    <t>Sonic Healthcare Limited - Relative Valuation</t>
  </si>
  <si>
    <t>Beta Calculation</t>
  </si>
  <si>
    <t>Date</t>
  </si>
  <si>
    <t>ASX All Ordinaries Index</t>
  </si>
  <si>
    <t>ASX All Ordinaries Index - Daily Price Returns</t>
  </si>
  <si>
    <t>SHL Share Price</t>
  </si>
  <si>
    <t>SHL - Daily Returns</t>
  </si>
  <si>
    <t>Beta</t>
  </si>
  <si>
    <t>Cost of Equity</t>
  </si>
  <si>
    <t>Historic ASX 200 Prices</t>
  </si>
  <si>
    <t>ASX Accumulation Index Returns (Rm)</t>
  </si>
  <si>
    <t>Cost Of Equity</t>
  </si>
  <si>
    <t>Varible</t>
  </si>
  <si>
    <t>Rm-Rf</t>
  </si>
  <si>
    <t>Rf</t>
  </si>
  <si>
    <t>10 Year Bond Yield (%)-Rf</t>
  </si>
  <si>
    <t>Cost Of Debt Calculation</t>
  </si>
  <si>
    <t>Weight Calculation</t>
  </si>
  <si>
    <t>$</t>
  </si>
  <si>
    <t>%</t>
  </si>
  <si>
    <t>Total Equity</t>
  </si>
  <si>
    <t>Total Debt</t>
  </si>
  <si>
    <t>Total Value</t>
  </si>
  <si>
    <t>Short Term Debt</t>
  </si>
  <si>
    <t>Long Term Debt</t>
  </si>
  <si>
    <t>Average Debt (FY2024)</t>
  </si>
  <si>
    <t>Total Debt (FY2024)</t>
  </si>
  <si>
    <t>Income Tax Expense</t>
  </si>
  <si>
    <t>Income Before Tax</t>
  </si>
  <si>
    <t>Effective Tax Rate</t>
  </si>
  <si>
    <t>Cost Of Debt *(1-t)</t>
  </si>
  <si>
    <t>Cost of Debt</t>
  </si>
  <si>
    <t>Weight of Equity</t>
  </si>
  <si>
    <t>Weight of Debt</t>
  </si>
  <si>
    <t>The Weighted Average Cost Of Capital (WACC) is calculated as follows</t>
  </si>
  <si>
    <t>WACC=(Weight of Equity*Cost of Equity)+(Weight of Debt*After Tax Cost of Debt)</t>
  </si>
  <si>
    <t xml:space="preserve">Valuation of FCFE </t>
  </si>
  <si>
    <t>NCC</t>
  </si>
  <si>
    <t>WCInv</t>
  </si>
  <si>
    <t>FCInv</t>
  </si>
  <si>
    <t xml:space="preserve">Net Borrowing </t>
  </si>
  <si>
    <t>Other NCL</t>
  </si>
  <si>
    <t>FCFE</t>
  </si>
  <si>
    <t>Valuation of FCFF</t>
  </si>
  <si>
    <t xml:space="preserve">Interest (1-T) </t>
  </si>
  <si>
    <t>FCFF</t>
  </si>
  <si>
    <t>D/E</t>
  </si>
  <si>
    <t>Unlevered beta</t>
  </si>
  <si>
    <t>Risk-free rate</t>
  </si>
  <si>
    <t>Risk premium</t>
  </si>
  <si>
    <t>Cost of equity</t>
  </si>
  <si>
    <t>Present value</t>
  </si>
  <si>
    <t>Long-term growth rate</t>
  </si>
  <si>
    <t>Terminal value</t>
  </si>
  <si>
    <t>PVTV</t>
  </si>
  <si>
    <t xml:space="preserve">Total Present Value of Equity </t>
  </si>
  <si>
    <t>Number of Shares (m)</t>
  </si>
  <si>
    <t>Price per Share ($)</t>
  </si>
  <si>
    <t>Reccommenation buy/ sell/ hold</t>
  </si>
  <si>
    <t>SELL</t>
  </si>
  <si>
    <t>Unlevered Beta</t>
  </si>
  <si>
    <t>Risk-Free Rate</t>
  </si>
  <si>
    <t>Risk Premium</t>
  </si>
  <si>
    <t xml:space="preserve">Cost of Debt </t>
  </si>
  <si>
    <t>Long Term Growth Rate</t>
  </si>
  <si>
    <t>WACC</t>
  </si>
  <si>
    <t xml:space="preserve">Present Value </t>
  </si>
  <si>
    <t>Total PV</t>
  </si>
  <si>
    <t>Market Price as at 02/06/25</t>
  </si>
  <si>
    <t>a1945524</t>
  </si>
  <si>
    <t>a1944342</t>
  </si>
  <si>
    <t>a1930481</t>
  </si>
  <si>
    <t>a1949187</t>
  </si>
  <si>
    <t>a1911485</t>
  </si>
  <si>
    <t>Kush Anand Shah</t>
  </si>
  <si>
    <t>Supriya Abhijit Pingle</t>
  </si>
  <si>
    <t>Alan Sam Alelil</t>
  </si>
  <si>
    <t>Harikrishnan Manoj</t>
  </si>
  <si>
    <t>Randeep Ravindra Pawar</t>
  </si>
  <si>
    <t>Sum ID</t>
  </si>
  <si>
    <t>Chinmay Shetty</t>
  </si>
  <si>
    <t>a1916150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</si>
</sst>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0.0%"/>
    <numFmt numFmtId="167" formatCode="0.0"/>
    <numFmt numFmtId="168" formatCode="mmm\-yyyy"/>
    <numFmt numFmtId="169" formatCode="_(&quot;$&quot;* #,##0_);_(&quot;$&quot;* \(#,##0\);_(&quot;$&quot;* &quot;-&quot;??_);_(@_)"/>
    <numFmt numFmtId="170" formatCode="#,##0.000;\-#,##0.000;#,##0.000;&quot;--&quot;"/>
    <numFmt numFmtId="171" formatCode="0.000"/>
    <numFmt numFmtId="172" formatCode="[$-F800]dddd\,\ mmmm\ dd\,\ yyyy"/>
    <numFmt numFmtId="173" formatCode="#,##0.0"/>
    <numFmt numFmtId="174" formatCode="#,##0.0000"/>
    <numFmt numFmtId="175" formatCode="_(&quot;$&quot;* #,##0.000000_);_(&quot;$&quot;* \(#,##0.000000\);_(&quot;$&quot;* &quot;-&quot;??_);_(@_)"/>
    <numFmt numFmtId="176" formatCode="_(&quot;$&quot;* #,##0.0000_);_(&quot;$&quot;* \(#,##0.0000\);_(&quot;$&quot;* &quot;-&quot;??_);_(@_)"/>
    <numFmt numFmtId="177" formatCode="_-[$$-409]* #,##0.00_ ;_-[$$-409]* \-#,##0.00\ ;_-[$$-409]* &quot;-&quot;??_ ;_-@_ "/>
  </numFmts>
  <fonts count="39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2"/>
      <color theme="1"/>
      <name val="Cambria"/>
      <family val="2"/>
      <scheme val="maj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name val="Calibri"/>
      <family val="2"/>
    </font>
    <font>
      <i/>
      <sz val="11"/>
      <color rgb="FF000000"/>
      <name val="Calibri"/>
      <family val="2"/>
    </font>
    <font>
      <b/>
      <sz val="10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i/>
      <vertAlign val="subscript"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sz val="10"/>
      <name val="Geogrotesque Rg"/>
    </font>
    <font>
      <sz val="9"/>
      <name val="Arial"/>
      <family val="2"/>
    </font>
    <font>
      <b/>
      <sz val="20"/>
      <color rgb="FF000000"/>
      <name val="Calibri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u/>
      <sz val="10"/>
      <color rgb="FF00000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  <fill>
      <patternFill patternType="solid">
        <fgColor theme="9" tint="0.39997558519241921"/>
        <bgColor rgb="FFA4C2F4"/>
      </patternFill>
    </fill>
    <fill>
      <patternFill patternType="solid">
        <fgColor theme="8" tint="0.79998168889431442"/>
        <bgColor rgb="FFD9E2F3"/>
      </patternFill>
    </fill>
    <fill>
      <patternFill patternType="solid">
        <fgColor theme="5" tint="0.59999389629810485"/>
        <bgColor rgb="FFC5E0B3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rgb="FFD5D8DB"/>
      </patternFill>
    </fill>
    <fill>
      <patternFill patternType="solid">
        <fgColor theme="0" tint="-0.249977111117893"/>
        <bgColor rgb="FFD5D8DB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rgb="FFADB9CA"/>
      </patternFill>
    </fill>
    <fill>
      <patternFill patternType="solid">
        <fgColor rgb="FFA9D08E"/>
        <bgColor rgb="FFADB9CA"/>
      </patternFill>
    </fill>
    <fill>
      <patternFill patternType="solid">
        <fgColor rgb="FFFFE699"/>
        <bgColor rgb="FF000000"/>
      </patternFill>
    </fill>
    <fill>
      <patternFill patternType="solid">
        <fgColor rgb="FFA9D08E"/>
        <bgColor rgb="FF000000"/>
      </patternFill>
    </fill>
  </fills>
  <borders count="34">
    <border>
      <left/>
      <right/>
      <top/>
      <bottom/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D5D8DB"/>
      </left>
      <right/>
      <top style="thin">
        <color rgb="FFD5D8DB"/>
      </top>
      <bottom style="thin">
        <color rgb="FFD5D8D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 applyNumberFormat="0" applyBorder="0" applyAlignment="0"/>
    <xf numFmtId="0" fontId="9" fillId="0" borderId="0" applyNumberFormat="0" applyBorder="0" applyAlignment="0"/>
    <xf numFmtId="0" fontId="11" fillId="0" borderId="0"/>
    <xf numFmtId="0" fontId="20" fillId="0" borderId="0"/>
    <xf numFmtId="0" fontId="2" fillId="0" borderId="0"/>
    <xf numFmtId="0" fontId="1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305">
    <xf numFmtId="0" fontId="0" fillId="0" borderId="0" xfId="0"/>
    <xf numFmtId="0" fontId="4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0" fillId="3" borderId="2" xfId="0" applyFill="1" applyBorder="1" applyAlignment="1"/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  <xf numFmtId="3" fontId="0" fillId="3" borderId="2" xfId="0" applyNumberFormat="1" applyFill="1" applyBorder="1" applyAlignment="1"/>
    <xf numFmtId="3" fontId="8" fillId="0" borderId="2" xfId="0" applyNumberFormat="1" applyFont="1" applyBorder="1" applyAlignment="1">
      <alignment horizontal="right" vertical="center"/>
    </xf>
    <xf numFmtId="3" fontId="5" fillId="3" borderId="2" xfId="0" applyNumberFormat="1" applyFont="1" applyFill="1" applyBorder="1" applyAlignment="1">
      <alignment horizontal="left" vertical="center"/>
    </xf>
    <xf numFmtId="3" fontId="4" fillId="0" borderId="2" xfId="0" applyNumberFormat="1" applyFont="1" applyBorder="1" applyAlignment="1">
      <alignment vertical="center"/>
    </xf>
    <xf numFmtId="3" fontId="4" fillId="0" borderId="2" xfId="0" applyNumberFormat="1" applyFont="1" applyBorder="1" applyAlignment="1">
      <alignment horizontal="left" vertical="center"/>
    </xf>
    <xf numFmtId="3" fontId="5" fillId="0" borderId="2" xfId="0" applyNumberFormat="1" applyFont="1" applyBorder="1" applyAlignment="1">
      <alignment vertical="center"/>
    </xf>
    <xf numFmtId="1" fontId="10" fillId="4" borderId="3" xfId="0" applyNumberFormat="1" applyFont="1" applyFill="1" applyBorder="1"/>
    <xf numFmtId="1" fontId="10" fillId="5" borderId="4" xfId="0" applyNumberFormat="1" applyFont="1" applyFill="1" applyBorder="1" applyAlignment="1">
      <alignment horizontal="center" vertical="center" wrapText="1"/>
    </xf>
    <xf numFmtId="1" fontId="10" fillId="5" borderId="5" xfId="0" applyNumberFormat="1" applyFont="1" applyFill="1" applyBorder="1" applyAlignment="1">
      <alignment horizontal="center" vertical="center" wrapText="1"/>
    </xf>
    <xf numFmtId="1" fontId="10" fillId="5" borderId="6" xfId="0" applyNumberFormat="1" applyFont="1" applyFill="1" applyBorder="1" applyAlignment="1">
      <alignment horizontal="center" vertical="center" wrapText="1"/>
    </xf>
    <xf numFmtId="1" fontId="12" fillId="6" borderId="9" xfId="2" applyNumberFormat="1" applyFont="1" applyFill="1" applyBorder="1" applyAlignment="1">
      <alignment horizontal="center" vertical="center" wrapText="1"/>
    </xf>
    <xf numFmtId="1" fontId="12" fillId="6" borderId="7" xfId="2" applyNumberFormat="1" applyFont="1" applyFill="1" applyBorder="1" applyAlignment="1">
      <alignment horizontal="center" vertical="center" wrapText="1"/>
    </xf>
    <xf numFmtId="1" fontId="12" fillId="6" borderId="8" xfId="2" applyNumberFormat="1" applyFont="1" applyFill="1" applyBorder="1" applyAlignment="1">
      <alignment horizontal="center" vertical="center" wrapText="1"/>
    </xf>
    <xf numFmtId="1" fontId="12" fillId="6" borderId="0" xfId="2" applyNumberFormat="1" applyFont="1" applyFill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 indent="2"/>
    </xf>
    <xf numFmtId="3" fontId="4" fillId="0" borderId="2" xfId="0" applyNumberFormat="1" applyFont="1" applyBorder="1" applyAlignment="1">
      <alignment horizontal="right" vertical="center" wrapText="1"/>
    </xf>
    <xf numFmtId="166" fontId="0" fillId="0" borderId="0" xfId="0" applyNumberFormat="1"/>
    <xf numFmtId="166" fontId="0" fillId="0" borderId="0" xfId="0" applyNumberForma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3" fontId="7" fillId="0" borderId="0" xfId="0" applyNumberFormat="1" applyFont="1" applyBorder="1" applyAlignment="1">
      <alignment horizontal="right" vertical="center"/>
    </xf>
    <xf numFmtId="3" fontId="6" fillId="0" borderId="0" xfId="0" applyNumberFormat="1" applyFont="1" applyBorder="1" applyAlignment="1">
      <alignment horizontal="right" vertical="center"/>
    </xf>
    <xf numFmtId="3" fontId="0" fillId="0" borderId="0" xfId="0" applyNumberFormat="1" applyBorder="1" applyAlignment="1"/>
    <xf numFmtId="3" fontId="8" fillId="0" borderId="0" xfId="0" applyNumberFormat="1" applyFont="1" applyBorder="1" applyAlignment="1">
      <alignment horizontal="right" vertical="center"/>
    </xf>
    <xf numFmtId="0" fontId="0" fillId="0" borderId="0" xfId="0" applyBorder="1" applyAlignment="1"/>
    <xf numFmtId="3" fontId="0" fillId="0" borderId="2" xfId="0" applyNumberFormat="1" applyBorder="1" applyAlignment="1"/>
    <xf numFmtId="0" fontId="15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9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" fontId="17" fillId="0" borderId="11" xfId="1" applyNumberFormat="1" applyFon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" fontId="0" fillId="10" borderId="11" xfId="0" applyNumberFormat="1" applyFill="1" applyBorder="1" applyAlignment="1">
      <alignment horizontal="center"/>
    </xf>
    <xf numFmtId="0" fontId="15" fillId="0" borderId="0" xfId="0" applyFont="1" applyAlignment="1"/>
    <xf numFmtId="0" fontId="0" fillId="0" borderId="11" xfId="0" applyBorder="1"/>
    <xf numFmtId="0" fontId="18" fillId="0" borderId="11" xfId="0" applyFont="1" applyBorder="1"/>
    <xf numFmtId="168" fontId="20" fillId="0" borderId="0" xfId="3" applyNumberFormat="1" applyAlignment="1">
      <alignment horizontal="right"/>
    </xf>
    <xf numFmtId="167" fontId="20" fillId="0" borderId="0" xfId="3" applyNumberFormat="1" applyAlignment="1">
      <alignment horizontal="right"/>
    </xf>
    <xf numFmtId="0" fontId="2" fillId="0" borderId="0" xfId="4"/>
    <xf numFmtId="167" fontId="0" fillId="0" borderId="0" xfId="0" applyNumberFormat="1"/>
    <xf numFmtId="0" fontId="19" fillId="11" borderId="13" xfId="0" applyFont="1" applyFill="1" applyBorder="1" applyAlignment="1">
      <alignment horizontal="center" vertical="center"/>
    </xf>
    <xf numFmtId="0" fontId="19" fillId="11" borderId="14" xfId="0" applyFont="1" applyFill="1" applyBorder="1" applyAlignment="1">
      <alignment horizontal="center" vertical="center"/>
    </xf>
    <xf numFmtId="0" fontId="19" fillId="11" borderId="1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7" fontId="0" fillId="0" borderId="0" xfId="0" applyNumberFormat="1" applyBorder="1"/>
    <xf numFmtId="2" fontId="0" fillId="0" borderId="19" xfId="0" applyNumberFormat="1" applyBorder="1"/>
    <xf numFmtId="0" fontId="0" fillId="0" borderId="0" xfId="0" applyBorder="1"/>
    <xf numFmtId="0" fontId="0" fillId="0" borderId="22" xfId="0" applyBorder="1"/>
    <xf numFmtId="0" fontId="0" fillId="0" borderId="17" xfId="0" applyBorder="1"/>
    <xf numFmtId="167" fontId="20" fillId="0" borderId="17" xfId="3" applyNumberFormat="1" applyBorder="1" applyAlignment="1">
      <alignment horizontal="right"/>
    </xf>
    <xf numFmtId="0" fontId="19" fillId="11" borderId="4" xfId="0" applyFont="1" applyFill="1" applyBorder="1" applyAlignment="1">
      <alignment horizontal="center" vertical="center"/>
    </xf>
    <xf numFmtId="0" fontId="19" fillId="11" borderId="16" xfId="0" applyFont="1" applyFill="1" applyBorder="1" applyAlignment="1">
      <alignment horizontal="center" vertical="center"/>
    </xf>
    <xf numFmtId="1" fontId="12" fillId="15" borderId="4" xfId="0" applyNumberFormat="1" applyFont="1" applyFill="1" applyBorder="1" applyAlignment="1">
      <alignment horizontal="center" vertical="center"/>
    </xf>
    <xf numFmtId="1" fontId="12" fillId="15" borderId="5" xfId="0" applyNumberFormat="1" applyFont="1" applyFill="1" applyBorder="1" applyAlignment="1">
      <alignment horizontal="center" vertical="center"/>
    </xf>
    <xf numFmtId="1" fontId="12" fillId="15" borderId="6" xfId="0" applyNumberFormat="1" applyFont="1" applyFill="1" applyBorder="1" applyAlignment="1">
      <alignment horizontal="center" vertical="center"/>
    </xf>
    <xf numFmtId="3" fontId="4" fillId="16" borderId="2" xfId="0" applyNumberFormat="1" applyFont="1" applyFill="1" applyBorder="1" applyAlignment="1">
      <alignment horizontal="left" vertical="center"/>
    </xf>
    <xf numFmtId="0" fontId="18" fillId="0" borderId="0" xfId="0" applyFont="1"/>
    <xf numFmtId="3" fontId="7" fillId="0" borderId="23" xfId="0" applyNumberFormat="1" applyFont="1" applyBorder="1" applyAlignment="1">
      <alignment horizontal="right" vertical="center"/>
    </xf>
    <xf numFmtId="1" fontId="23" fillId="0" borderId="0" xfId="0" applyNumberFormat="1" applyFont="1" applyBorder="1" applyAlignment="1">
      <alignment horizontal="center" vertical="center" wrapText="1"/>
    </xf>
    <xf numFmtId="0" fontId="21" fillId="0" borderId="0" xfId="0" applyFont="1" applyBorder="1"/>
    <xf numFmtId="3" fontId="6" fillId="0" borderId="2" xfId="0" applyNumberFormat="1" applyFont="1" applyBorder="1" applyAlignment="1">
      <alignment horizontal="right" vertical="center" wrapText="1"/>
    </xf>
    <xf numFmtId="10" fontId="24" fillId="0" borderId="0" xfId="2" applyNumberFormat="1" applyFont="1" applyAlignment="1">
      <alignment horizontal="center" vertical="center" wrapText="1"/>
    </xf>
    <xf numFmtId="9" fontId="0" fillId="0" borderId="24" xfId="0" applyNumberFormat="1" applyBorder="1"/>
    <xf numFmtId="9" fontId="0" fillId="0" borderId="25" xfId="0" applyNumberFormat="1" applyBorder="1"/>
    <xf numFmtId="166" fontId="0" fillId="14" borderId="9" xfId="0" applyNumberFormat="1" applyFill="1" applyBorder="1"/>
    <xf numFmtId="9" fontId="0" fillId="0" borderId="21" xfId="0" applyNumberFormat="1" applyBorder="1"/>
    <xf numFmtId="9" fontId="0" fillId="0" borderId="22" xfId="0" applyNumberFormat="1" applyBorder="1"/>
    <xf numFmtId="9" fontId="21" fillId="12" borderId="21" xfId="0" applyNumberFormat="1" applyFont="1" applyFill="1" applyBorder="1"/>
    <xf numFmtId="9" fontId="21" fillId="12" borderId="22" xfId="0" applyNumberFormat="1" applyFont="1" applyFill="1" applyBorder="1"/>
    <xf numFmtId="0" fontId="2" fillId="0" borderId="21" xfId="4" applyBorder="1" applyAlignment="1">
      <alignment horizontal="center"/>
    </xf>
    <xf numFmtId="167" fontId="0" fillId="0" borderId="19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7" fontId="0" fillId="0" borderId="20" xfId="0" applyNumberFormat="1" applyBorder="1" applyAlignment="1">
      <alignment horizontal="center"/>
    </xf>
    <xf numFmtId="0" fontId="0" fillId="14" borderId="9" xfId="0" applyFill="1" applyBorder="1"/>
    <xf numFmtId="9" fontId="0" fillId="0" borderId="21" xfId="0" applyNumberFormat="1" applyBorder="1" applyAlignment="1">
      <alignment horizontal="center"/>
    </xf>
    <xf numFmtId="9" fontId="0" fillId="0" borderId="22" xfId="0" applyNumberFormat="1" applyBorder="1" applyAlignment="1">
      <alignment horizontal="center"/>
    </xf>
    <xf numFmtId="0" fontId="0" fillId="14" borderId="3" xfId="0" applyFill="1" applyBorder="1"/>
    <xf numFmtId="9" fontId="0" fillId="14" borderId="16" xfId="0" applyNumberFormat="1" applyFill="1" applyBorder="1"/>
    <xf numFmtId="2" fontId="0" fillId="0" borderId="0" xfId="0" applyNumberFormat="1"/>
    <xf numFmtId="0" fontId="0" fillId="0" borderId="17" xfId="0" applyBorder="1" applyAlignment="1"/>
    <xf numFmtId="0" fontId="22" fillId="0" borderId="18" xfId="0" applyFont="1" applyBorder="1" applyAlignment="1">
      <alignment horizontal="center"/>
    </xf>
    <xf numFmtId="0" fontId="22" fillId="0" borderId="18" xfId="0" applyFont="1" applyBorder="1" applyAlignment="1">
      <alignment horizontal="centerContinuous"/>
    </xf>
    <xf numFmtId="0" fontId="0" fillId="13" borderId="7" xfId="0" applyFill="1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0" fontId="22" fillId="0" borderId="0" xfId="0" applyFont="1" applyBorder="1" applyAlignment="1">
      <alignment horizontal="centerContinuous"/>
    </xf>
    <xf numFmtId="0" fontId="22" fillId="0" borderId="0" xfId="0" applyFont="1" applyBorder="1" applyAlignment="1">
      <alignment horizontal="center"/>
    </xf>
    <xf numFmtId="0" fontId="5" fillId="17" borderId="2" xfId="0" applyFont="1" applyFill="1" applyBorder="1" applyAlignment="1">
      <alignment horizontal="left" vertical="center"/>
    </xf>
    <xf numFmtId="3" fontId="0" fillId="17" borderId="2" xfId="0" applyNumberFormat="1" applyFill="1" applyBorder="1" applyAlignment="1"/>
    <xf numFmtId="3" fontId="6" fillId="18" borderId="2" xfId="0" applyNumberFormat="1" applyFont="1" applyFill="1" applyBorder="1" applyAlignment="1">
      <alignment horizontal="right" vertical="center"/>
    </xf>
    <xf numFmtId="0" fontId="0" fillId="18" borderId="0" xfId="0" applyFill="1"/>
    <xf numFmtId="166" fontId="0" fillId="18" borderId="0" xfId="0" applyNumberFormat="1" applyFill="1"/>
    <xf numFmtId="3" fontId="0" fillId="18" borderId="2" xfId="0" applyNumberFormat="1" applyFill="1" applyBorder="1" applyAlignment="1"/>
    <xf numFmtId="3" fontId="0" fillId="18" borderId="0" xfId="0" applyNumberFormat="1" applyFill="1"/>
    <xf numFmtId="0" fontId="0" fillId="17" borderId="2" xfId="0" applyFill="1" applyBorder="1" applyAlignment="1"/>
    <xf numFmtId="3" fontId="0" fillId="18" borderId="0" xfId="0" applyNumberFormat="1" applyFill="1" applyBorder="1" applyAlignment="1"/>
    <xf numFmtId="3" fontId="5" fillId="0" borderId="2" xfId="0" applyNumberFormat="1" applyFont="1" applyBorder="1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0" fontId="25" fillId="7" borderId="9" xfId="2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" fontId="12" fillId="19" borderId="16" xfId="2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7" xfId="0" applyBorder="1" applyAlignment="1">
      <alignment horizontal="center"/>
    </xf>
    <xf numFmtId="169" fontId="0" fillId="0" borderId="8" xfId="7" applyNumberFormat="1" applyFont="1" applyBorder="1" applyAlignment="1">
      <alignment horizontal="center"/>
    </xf>
    <xf numFmtId="169" fontId="0" fillId="0" borderId="19" xfId="7" applyNumberFormat="1" applyFont="1" applyBorder="1" applyAlignment="1">
      <alignment horizontal="center"/>
    </xf>
    <xf numFmtId="1" fontId="19" fillId="20" borderId="9" xfId="0" applyNumberFormat="1" applyFont="1" applyFill="1" applyBorder="1" applyAlignment="1">
      <alignment horizontal="center"/>
    </xf>
    <xf numFmtId="1" fontId="0" fillId="20" borderId="7" xfId="0" applyNumberFormat="1" applyFill="1" applyBorder="1" applyAlignment="1">
      <alignment horizontal="center"/>
    </xf>
    <xf numFmtId="169" fontId="0" fillId="20" borderId="8" xfId="7" applyNumberFormat="1" applyFont="1" applyFill="1" applyBorder="1" applyAlignment="1">
      <alignment horizontal="center"/>
    </xf>
    <xf numFmtId="1" fontId="19" fillId="20" borderId="22" xfId="0" applyNumberFormat="1" applyFont="1" applyFill="1" applyBorder="1" applyAlignment="1">
      <alignment horizontal="center"/>
    </xf>
    <xf numFmtId="1" fontId="0" fillId="20" borderId="17" xfId="0" applyNumberFormat="1" applyFill="1" applyBorder="1" applyAlignment="1">
      <alignment horizontal="center"/>
    </xf>
    <xf numFmtId="169" fontId="0" fillId="20" borderId="20" xfId="7" applyNumberFormat="1" applyFont="1" applyFill="1" applyBorder="1" applyAlignment="1">
      <alignment horizontal="center"/>
    </xf>
    <xf numFmtId="0" fontId="26" fillId="0" borderId="21" xfId="0" applyFont="1" applyBorder="1"/>
    <xf numFmtId="0" fontId="25" fillId="7" borderId="21" xfId="2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19" fillId="20" borderId="21" xfId="0" applyNumberFormat="1" applyFont="1" applyFill="1" applyBorder="1" applyAlignment="1">
      <alignment horizontal="center"/>
    </xf>
    <xf numFmtId="2" fontId="19" fillId="20" borderId="0" xfId="0" applyNumberFormat="1" applyFont="1" applyFill="1" applyAlignment="1">
      <alignment horizontal="center"/>
    </xf>
    <xf numFmtId="2" fontId="19" fillId="20" borderId="19" xfId="0" applyNumberFormat="1" applyFont="1" applyFill="1" applyBorder="1" applyAlignment="1">
      <alignment horizontal="center"/>
    </xf>
    <xf numFmtId="0" fontId="19" fillId="9" borderId="4" xfId="0" applyFont="1" applyFill="1" applyBorder="1"/>
    <xf numFmtId="0" fontId="27" fillId="9" borderId="5" xfId="0" applyFont="1" applyFill="1" applyBorder="1"/>
    <xf numFmtId="0" fontId="19" fillId="9" borderId="5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2" fontId="19" fillId="21" borderId="22" xfId="0" applyNumberFormat="1" applyFont="1" applyFill="1" applyBorder="1" applyAlignment="1">
      <alignment horizontal="center"/>
    </xf>
    <xf numFmtId="2" fontId="19" fillId="21" borderId="17" xfId="0" applyNumberFormat="1" applyFont="1" applyFill="1" applyBorder="1" applyAlignment="1">
      <alignment horizontal="center"/>
    </xf>
    <xf numFmtId="0" fontId="19" fillId="21" borderId="17" xfId="0" applyFont="1" applyFill="1" applyBorder="1" applyAlignment="1">
      <alignment horizontal="center"/>
    </xf>
    <xf numFmtId="0" fontId="0" fillId="21" borderId="17" xfId="0" applyFill="1" applyBorder="1" applyAlignment="1">
      <alignment horizontal="center" wrapText="1"/>
    </xf>
    <xf numFmtId="0" fontId="19" fillId="21" borderId="20" xfId="0" applyFont="1" applyFill="1" applyBorder="1" applyAlignment="1">
      <alignment horizontal="center"/>
    </xf>
    <xf numFmtId="0" fontId="26" fillId="0" borderId="4" xfId="0" applyFont="1" applyBorder="1"/>
    <xf numFmtId="0" fontId="0" fillId="0" borderId="5" xfId="0" applyBorder="1"/>
    <xf numFmtId="0" fontId="0" fillId="0" borderId="6" xfId="0" applyBorder="1"/>
    <xf numFmtId="0" fontId="26" fillId="0" borderId="0" xfId="0" applyFont="1"/>
    <xf numFmtId="1" fontId="12" fillId="19" borderId="6" xfId="2" applyNumberFormat="1" applyFont="1" applyFill="1" applyBorder="1" applyAlignment="1">
      <alignment horizontal="center" vertical="center" wrapText="1"/>
    </xf>
    <xf numFmtId="166" fontId="0" fillId="0" borderId="3" xfId="8" applyNumberFormat="1" applyFont="1" applyBorder="1" applyAlignment="1">
      <alignment horizontal="center"/>
    </xf>
    <xf numFmtId="10" fontId="0" fillId="0" borderId="3" xfId="8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166" fontId="0" fillId="0" borderId="24" xfId="8" applyNumberFormat="1" applyFont="1" applyBorder="1" applyAlignment="1">
      <alignment horizontal="center"/>
    </xf>
    <xf numFmtId="10" fontId="0" fillId="0" borderId="24" xfId="8" applyNumberFormat="1" applyFon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166" fontId="0" fillId="0" borderId="25" xfId="8" applyNumberFormat="1" applyFont="1" applyBorder="1" applyAlignment="1">
      <alignment horizontal="center"/>
    </xf>
    <xf numFmtId="10" fontId="0" fillId="0" borderId="25" xfId="8" applyNumberFormat="1" applyFont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0" fontId="26" fillId="0" borderId="22" xfId="0" applyFont="1" applyBorder="1"/>
    <xf numFmtId="1" fontId="12" fillId="19" borderId="20" xfId="2" applyNumberFormat="1" applyFont="1" applyFill="1" applyBorder="1" applyAlignment="1">
      <alignment horizontal="center" vertical="center" wrapText="1"/>
    </xf>
    <xf numFmtId="10" fontId="0" fillId="0" borderId="24" xfId="0" applyNumberFormat="1" applyBorder="1"/>
    <xf numFmtId="166" fontId="0" fillId="0" borderId="24" xfId="0" applyNumberFormat="1" applyBorder="1"/>
    <xf numFmtId="10" fontId="0" fillId="0" borderId="25" xfId="0" applyNumberFormat="1" applyBorder="1"/>
    <xf numFmtId="166" fontId="0" fillId="0" borderId="25" xfId="0" applyNumberFormat="1" applyBorder="1"/>
    <xf numFmtId="165" fontId="0" fillId="0" borderId="19" xfId="6" applyFont="1" applyBorder="1"/>
    <xf numFmtId="2" fontId="19" fillId="20" borderId="9" xfId="0" applyNumberFormat="1" applyFont="1" applyFill="1" applyBorder="1" applyAlignment="1">
      <alignment horizontal="center"/>
    </xf>
    <xf numFmtId="2" fontId="19" fillId="20" borderId="7" xfId="0" applyNumberFormat="1" applyFont="1" applyFill="1" applyBorder="1" applyAlignment="1">
      <alignment horizontal="center"/>
    </xf>
    <xf numFmtId="2" fontId="19" fillId="20" borderId="8" xfId="0" applyNumberFormat="1" applyFont="1" applyFill="1" applyBorder="1" applyAlignment="1">
      <alignment horizontal="center"/>
    </xf>
    <xf numFmtId="0" fontId="19" fillId="21" borderId="17" xfId="0" applyFont="1" applyFill="1" applyBorder="1" applyAlignment="1">
      <alignment horizontal="center" wrapText="1"/>
    </xf>
    <xf numFmtId="0" fontId="19" fillId="21" borderId="20" xfId="0" applyFont="1" applyFill="1" applyBorder="1" applyAlignment="1">
      <alignment horizontal="center" wrapText="1"/>
    </xf>
    <xf numFmtId="10" fontId="0" fillId="0" borderId="3" xfId="7" applyNumberFormat="1" applyFont="1" applyBorder="1" applyAlignment="1">
      <alignment horizontal="center"/>
    </xf>
    <xf numFmtId="166" fontId="0" fillId="0" borderId="3" xfId="7" applyNumberFormat="1" applyFont="1" applyBorder="1" applyAlignment="1">
      <alignment horizontal="center"/>
    </xf>
    <xf numFmtId="14" fontId="31" fillId="0" borderId="0" xfId="0" applyNumberFormat="1" applyFont="1" applyAlignment="1">
      <alignment wrapText="1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wrapText="1"/>
    </xf>
    <xf numFmtId="170" fontId="4" fillId="0" borderId="0" xfId="0" applyNumberFormat="1" applyFont="1" applyBorder="1"/>
    <xf numFmtId="171" fontId="32" fillId="0" borderId="0" xfId="0" applyNumberFormat="1" applyFont="1" applyAlignment="1">
      <alignment horizontal="right"/>
    </xf>
    <xf numFmtId="171" fontId="0" fillId="0" borderId="0" xfId="0" applyNumberFormat="1"/>
    <xf numFmtId="2" fontId="0" fillId="0" borderId="0" xfId="8" applyNumberFormat="1" applyFont="1"/>
    <xf numFmtId="0" fontId="22" fillId="0" borderId="26" xfId="0" applyFont="1" applyBorder="1" applyAlignment="1">
      <alignment horizontal="centerContinuous"/>
    </xf>
    <xf numFmtId="0" fontId="0" fillId="0" borderId="21" xfId="0" applyBorder="1" applyAlignment="1"/>
    <xf numFmtId="0" fontId="0" fillId="0" borderId="22" xfId="0" applyBorder="1" applyAlignment="1"/>
    <xf numFmtId="0" fontId="22" fillId="0" borderId="26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0" fillId="0" borderId="19" xfId="0" applyBorder="1" applyAlignment="1"/>
    <xf numFmtId="0" fontId="0" fillId="0" borderId="20" xfId="0" applyBorder="1" applyAlignment="1"/>
    <xf numFmtId="170" fontId="4" fillId="0" borderId="21" xfId="0" applyNumberFormat="1" applyFont="1" applyBorder="1"/>
    <xf numFmtId="0" fontId="0" fillId="23" borderId="4" xfId="0" applyFill="1" applyBorder="1" applyAlignment="1"/>
    <xf numFmtId="0" fontId="0" fillId="23" borderId="6" xfId="0" applyFill="1" applyBorder="1"/>
    <xf numFmtId="10" fontId="0" fillId="0" borderId="19" xfId="0" applyNumberFormat="1" applyBorder="1"/>
    <xf numFmtId="171" fontId="0" fillId="0" borderId="19" xfId="0" applyNumberFormat="1" applyBorder="1"/>
    <xf numFmtId="0" fontId="0" fillId="0" borderId="4" xfId="0" applyBorder="1"/>
    <xf numFmtId="0" fontId="0" fillId="23" borderId="4" xfId="0" applyFill="1" applyBorder="1"/>
    <xf numFmtId="172" fontId="31" fillId="0" borderId="0" xfId="0" applyNumberFormat="1" applyFont="1" applyAlignment="1">
      <alignment vertical="center" wrapText="1"/>
    </xf>
    <xf numFmtId="172" fontId="31" fillId="0" borderId="0" xfId="0" applyNumberFormat="1" applyFont="1" applyAlignment="1">
      <alignment wrapText="1"/>
    </xf>
    <xf numFmtId="172" fontId="32" fillId="0" borderId="0" xfId="0" applyNumberFormat="1" applyFont="1" applyAlignment="1">
      <alignment horizontal="right"/>
    </xf>
    <xf numFmtId="14" fontId="18" fillId="0" borderId="11" xfId="0" applyNumberFormat="1" applyFont="1" applyBorder="1"/>
    <xf numFmtId="9" fontId="0" fillId="0" borderId="11" xfId="8" applyFont="1" applyBorder="1"/>
    <xf numFmtId="0" fontId="0" fillId="0" borderId="28" xfId="0" applyBorder="1"/>
    <xf numFmtId="9" fontId="0" fillId="0" borderId="11" xfId="0" applyNumberFormat="1" applyBorder="1"/>
    <xf numFmtId="0" fontId="0" fillId="7" borderId="11" xfId="0" applyFill="1" applyBorder="1"/>
    <xf numFmtId="0" fontId="18" fillId="24" borderId="0" xfId="0" applyFont="1" applyFill="1" applyAlignment="1">
      <alignment horizontal="center"/>
    </xf>
    <xf numFmtId="10" fontId="18" fillId="0" borderId="11" xfId="0" applyNumberFormat="1" applyFont="1" applyBorder="1"/>
    <xf numFmtId="0" fontId="18" fillId="22" borderId="29" xfId="0" applyFont="1" applyFill="1" applyBorder="1"/>
    <xf numFmtId="0" fontId="18" fillId="0" borderId="11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9" fontId="18" fillId="0" borderId="11" xfId="8" applyFont="1" applyBorder="1"/>
    <xf numFmtId="0" fontId="27" fillId="19" borderId="16" xfId="0" applyFont="1" applyFill="1" applyBorder="1" applyAlignment="1">
      <alignment horizontal="center" vertical="center"/>
    </xf>
    <xf numFmtId="1" fontId="12" fillId="25" borderId="16" xfId="2" applyNumberFormat="1" applyFont="1" applyFill="1" applyBorder="1"/>
    <xf numFmtId="1" fontId="12" fillId="25" borderId="5" xfId="2" applyNumberFormat="1" applyFont="1" applyFill="1" applyBorder="1"/>
    <xf numFmtId="1" fontId="12" fillId="25" borderId="6" xfId="2" applyNumberFormat="1" applyFont="1" applyFill="1" applyBorder="1"/>
    <xf numFmtId="0" fontId="0" fillId="7" borderId="24" xfId="0" applyFill="1" applyBorder="1" applyAlignment="1">
      <alignment wrapText="1"/>
    </xf>
    <xf numFmtId="3" fontId="27" fillId="7" borderId="0" xfId="0" applyNumberFormat="1" applyFont="1" applyFill="1" applyAlignment="1">
      <alignment horizontal="center" wrapText="1"/>
    </xf>
    <xf numFmtId="1" fontId="27" fillId="7" borderId="0" xfId="0" applyNumberFormat="1" applyFont="1" applyFill="1" applyAlignment="1">
      <alignment horizontal="center" wrapText="1"/>
    </xf>
    <xf numFmtId="1" fontId="27" fillId="7" borderId="0" xfId="0" applyNumberFormat="1" applyFont="1" applyFill="1" applyAlignment="1">
      <alignment horizontal="center"/>
    </xf>
    <xf numFmtId="1" fontId="27" fillId="7" borderId="19" xfId="0" applyNumberFormat="1" applyFont="1" applyFill="1" applyBorder="1" applyAlignment="1">
      <alignment horizontal="center"/>
    </xf>
    <xf numFmtId="1" fontId="34" fillId="7" borderId="24" xfId="2" applyNumberFormat="1" applyFont="1" applyFill="1" applyBorder="1"/>
    <xf numFmtId="0" fontId="0" fillId="13" borderId="25" xfId="0" applyFill="1" applyBorder="1" applyAlignment="1">
      <alignment wrapText="1"/>
    </xf>
    <xf numFmtId="1" fontId="27" fillId="13" borderId="17" xfId="0" applyNumberFormat="1" applyFont="1" applyFill="1" applyBorder="1" applyAlignment="1">
      <alignment horizontal="center" wrapText="1"/>
    </xf>
    <xf numFmtId="1" fontId="27" fillId="13" borderId="20" xfId="0" applyNumberFormat="1" applyFont="1" applyFill="1" applyBorder="1" applyAlignment="1">
      <alignment horizontal="center" wrapText="1"/>
    </xf>
    <xf numFmtId="0" fontId="35" fillId="0" borderId="25" xfId="0" applyFont="1" applyBorder="1" applyAlignment="1">
      <alignment wrapText="1"/>
    </xf>
    <xf numFmtId="3" fontId="36" fillId="0" borderId="17" xfId="0" applyNumberFormat="1" applyFont="1" applyBorder="1" applyAlignment="1">
      <alignment horizontal="center"/>
    </xf>
    <xf numFmtId="3" fontId="36" fillId="0" borderId="20" xfId="0" applyNumberFormat="1" applyFont="1" applyBorder="1" applyAlignment="1">
      <alignment horizontal="center"/>
    </xf>
    <xf numFmtId="1" fontId="12" fillId="25" borderId="24" xfId="2" applyNumberFormat="1" applyFont="1" applyFill="1" applyBorder="1"/>
    <xf numFmtId="1" fontId="12" fillId="25" borderId="0" xfId="2" applyNumberFormat="1" applyFont="1" applyFill="1"/>
    <xf numFmtId="1" fontId="12" fillId="25" borderId="19" xfId="2" applyNumberFormat="1" applyFont="1" applyFill="1" applyBorder="1"/>
    <xf numFmtId="0" fontId="0" fillId="7" borderId="3" xfId="0" applyFill="1" applyBorder="1" applyAlignment="1">
      <alignment wrapText="1"/>
    </xf>
    <xf numFmtId="3" fontId="27" fillId="13" borderId="17" xfId="0" applyNumberFormat="1" applyFont="1" applyFill="1" applyBorder="1" applyAlignment="1">
      <alignment horizontal="center" wrapText="1"/>
    </xf>
    <xf numFmtId="3" fontId="27" fillId="13" borderId="20" xfId="0" applyNumberFormat="1" applyFont="1" applyFill="1" applyBorder="1" applyAlignment="1">
      <alignment horizontal="center" wrapText="1"/>
    </xf>
    <xf numFmtId="3" fontId="27" fillId="0" borderId="22" xfId="0" applyNumberFormat="1" applyFont="1" applyBorder="1" applyAlignment="1">
      <alignment horizontal="center" wrapText="1"/>
    </xf>
    <xf numFmtId="3" fontId="27" fillId="0" borderId="25" xfId="0" applyNumberFormat="1" applyFont="1" applyBorder="1" applyAlignment="1">
      <alignment horizontal="center" wrapText="1"/>
    </xf>
    <xf numFmtId="1" fontId="27" fillId="13" borderId="0" xfId="0" applyNumberFormat="1" applyFont="1" applyFill="1" applyAlignment="1">
      <alignment horizont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4" fillId="0" borderId="3" xfId="0" applyFont="1" applyBorder="1"/>
    <xf numFmtId="1" fontId="18" fillId="26" borderId="24" xfId="2" applyNumberFormat="1" applyFont="1" applyFill="1" applyBorder="1"/>
    <xf numFmtId="0" fontId="37" fillId="0" borderId="32" xfId="0" applyFont="1" applyBorder="1"/>
    <xf numFmtId="0" fontId="37" fillId="0" borderId="24" xfId="0" applyFont="1" applyBorder="1"/>
    <xf numFmtId="0" fontId="37" fillId="0" borderId="25" xfId="0" applyFont="1" applyBorder="1"/>
    <xf numFmtId="0" fontId="4" fillId="27" borderId="4" xfId="0" applyFont="1" applyFill="1" applyBorder="1"/>
    <xf numFmtId="1" fontId="18" fillId="15" borderId="4" xfId="0" applyNumberFormat="1" applyFont="1" applyFill="1" applyBorder="1" applyAlignment="1">
      <alignment horizontal="center" vertical="center"/>
    </xf>
    <xf numFmtId="1" fontId="18" fillId="15" borderId="5" xfId="0" applyNumberFormat="1" applyFont="1" applyFill="1" applyBorder="1" applyAlignment="1">
      <alignment horizontal="center" vertical="center"/>
    </xf>
    <xf numFmtId="1" fontId="18" fillId="15" borderId="6" xfId="0" applyNumberFormat="1" applyFont="1" applyFill="1" applyBorder="1" applyAlignment="1">
      <alignment horizontal="center" vertical="center"/>
    </xf>
    <xf numFmtId="173" fontId="4" fillId="28" borderId="21" xfId="0" applyNumberFormat="1" applyFont="1" applyFill="1" applyBorder="1" applyAlignment="1">
      <alignment horizontal="center" wrapText="1"/>
    </xf>
    <xf numFmtId="173" fontId="4" fillId="28" borderId="0" xfId="0" applyNumberFormat="1" applyFont="1" applyFill="1" applyAlignment="1">
      <alignment horizontal="center" wrapText="1"/>
    </xf>
    <xf numFmtId="173" fontId="4" fillId="28" borderId="0" xfId="0" applyNumberFormat="1" applyFont="1" applyFill="1" applyAlignment="1">
      <alignment horizontal="center"/>
    </xf>
    <xf numFmtId="173" fontId="4" fillId="28" borderId="19" xfId="0" applyNumberFormat="1" applyFont="1" applyFill="1" applyBorder="1" applyAlignment="1">
      <alignment horizontal="center"/>
    </xf>
    <xf numFmtId="3" fontId="4" fillId="0" borderId="21" xfId="0" applyNumberFormat="1" applyFont="1" applyBorder="1" applyAlignment="1">
      <alignment horizontal="center" wrapText="1"/>
    </xf>
    <xf numFmtId="0" fontId="4" fillId="0" borderId="19" xfId="0" applyFont="1" applyBorder="1" applyAlignment="1">
      <alignment horizontal="center"/>
    </xf>
    <xf numFmtId="9" fontId="4" fillId="0" borderId="21" xfId="8" applyFont="1" applyFill="1" applyBorder="1" applyAlignment="1">
      <alignment horizontal="center" wrapText="1"/>
    </xf>
    <xf numFmtId="174" fontId="4" fillId="0" borderId="21" xfId="0" applyNumberFormat="1" applyFont="1" applyBorder="1" applyAlignment="1">
      <alignment horizontal="center" wrapText="1"/>
    </xf>
    <xf numFmtId="10" fontId="4" fillId="0" borderId="21" xfId="8" applyNumberFormat="1" applyFont="1" applyFill="1" applyBorder="1" applyAlignment="1">
      <alignment horizontal="center" wrapText="1"/>
    </xf>
    <xf numFmtId="173" fontId="4" fillId="0" borderId="21" xfId="0" applyNumberFormat="1" applyFont="1" applyBorder="1" applyAlignment="1">
      <alignment horizontal="center" wrapText="1"/>
    </xf>
    <xf numFmtId="173" fontId="4" fillId="0" borderId="0" xfId="0" applyNumberFormat="1" applyFont="1" applyAlignment="1">
      <alignment horizontal="center" wrapText="1"/>
    </xf>
    <xf numFmtId="173" fontId="38" fillId="0" borderId="0" xfId="0" applyNumberFormat="1" applyFont="1" applyAlignment="1">
      <alignment horizontal="center" wrapText="1"/>
    </xf>
    <xf numFmtId="3" fontId="38" fillId="0" borderId="19" xfId="0" applyNumberFormat="1" applyFont="1" applyBorder="1" applyAlignment="1">
      <alignment horizontal="center" wrapText="1"/>
    </xf>
    <xf numFmtId="0" fontId="27" fillId="0" borderId="0" xfId="0" applyFont="1"/>
    <xf numFmtId="175" fontId="38" fillId="0" borderId="3" xfId="7" applyNumberFormat="1" applyFont="1" applyFill="1" applyBorder="1" applyAlignment="1">
      <alignment horizontal="center" wrapText="1"/>
    </xf>
    <xf numFmtId="173" fontId="4" fillId="0" borderId="22" xfId="0" applyNumberFormat="1" applyFont="1" applyBorder="1" applyAlignment="1">
      <alignment horizontal="center" wrapText="1"/>
    </xf>
    <xf numFmtId="173" fontId="4" fillId="0" borderId="17" xfId="0" applyNumberFormat="1" applyFont="1" applyBorder="1" applyAlignment="1">
      <alignment horizontal="center" wrapText="1"/>
    </xf>
    <xf numFmtId="173" fontId="38" fillId="0" borderId="17" xfId="0" applyNumberFormat="1" applyFont="1" applyBorder="1" applyAlignment="1">
      <alignment horizontal="center" wrapText="1"/>
    </xf>
    <xf numFmtId="176" fontId="38" fillId="0" borderId="25" xfId="7" applyNumberFormat="1" applyFont="1" applyFill="1" applyBorder="1" applyAlignment="1">
      <alignment horizontal="center" wrapText="1"/>
    </xf>
    <xf numFmtId="173" fontId="4" fillId="27" borderId="5" xfId="0" applyNumberFormat="1" applyFont="1" applyFill="1" applyBorder="1" applyAlignment="1">
      <alignment horizontal="center" wrapText="1"/>
    </xf>
    <xf numFmtId="173" fontId="4" fillId="27" borderId="5" xfId="0" applyNumberFormat="1" applyFont="1" applyFill="1" applyBorder="1" applyAlignment="1">
      <alignment horizontal="center"/>
    </xf>
    <xf numFmtId="0" fontId="5" fillId="27" borderId="6" xfId="0" applyFont="1" applyFill="1" applyBorder="1" applyAlignment="1">
      <alignment horizontal="center"/>
    </xf>
    <xf numFmtId="165" fontId="38" fillId="0" borderId="19" xfId="0" applyNumberFormat="1" applyFont="1" applyBorder="1" applyAlignment="1">
      <alignment horizontal="center" wrapText="1"/>
    </xf>
    <xf numFmtId="9" fontId="4" fillId="0" borderId="0" xfId="8" applyFont="1" applyFill="1" applyBorder="1" applyAlignment="1">
      <alignment horizontal="center" wrapText="1"/>
    </xf>
    <xf numFmtId="174" fontId="4" fillId="0" borderId="0" xfId="0" applyNumberFormat="1" applyFont="1" applyAlignment="1">
      <alignment horizontal="center" wrapText="1"/>
    </xf>
    <xf numFmtId="10" fontId="4" fillId="0" borderId="0" xfId="8" applyNumberFormat="1" applyFont="1" applyFill="1" applyBorder="1" applyAlignment="1">
      <alignment horizontal="center" wrapText="1"/>
    </xf>
    <xf numFmtId="3" fontId="10" fillId="7" borderId="0" xfId="0" applyNumberFormat="1" applyFont="1" applyFill="1" applyAlignment="1">
      <alignment horizontal="center" wrapText="1"/>
    </xf>
    <xf numFmtId="1" fontId="10" fillId="7" borderId="0" xfId="0" applyNumberFormat="1" applyFont="1" applyFill="1" applyAlignment="1">
      <alignment horizontal="center" wrapText="1"/>
    </xf>
    <xf numFmtId="9" fontId="0" fillId="23" borderId="6" xfId="8" applyFont="1" applyFill="1" applyBorder="1"/>
    <xf numFmtId="1" fontId="0" fillId="0" borderId="0" xfId="0" applyNumberFormat="1"/>
    <xf numFmtId="1" fontId="18" fillId="0" borderId="0" xfId="0" applyNumberFormat="1" applyFont="1"/>
    <xf numFmtId="1" fontId="0" fillId="18" borderId="0" xfId="0" applyNumberFormat="1" applyFill="1"/>
    <xf numFmtId="1" fontId="7" fillId="0" borderId="2" xfId="0" applyNumberFormat="1" applyFont="1" applyBorder="1" applyAlignment="1">
      <alignment horizontal="right" vertical="center"/>
    </xf>
    <xf numFmtId="0" fontId="18" fillId="0" borderId="33" xfId="0" applyFont="1" applyBorder="1"/>
    <xf numFmtId="0" fontId="0" fillId="0" borderId="33" xfId="0" applyBorder="1"/>
    <xf numFmtId="177" fontId="0" fillId="0" borderId="3" xfId="7" applyNumberFormat="1" applyFont="1" applyBorder="1" applyAlignment="1">
      <alignment horizontal="center"/>
    </xf>
    <xf numFmtId="177" fontId="0" fillId="0" borderId="24" xfId="7" applyNumberFormat="1" applyFont="1" applyBorder="1" applyAlignment="1">
      <alignment horizontal="center"/>
    </xf>
    <xf numFmtId="177" fontId="0" fillId="0" borderId="25" xfId="7" applyNumberFormat="1" applyFont="1" applyBorder="1" applyAlignment="1">
      <alignment horizontal="center"/>
    </xf>
    <xf numFmtId="177" fontId="0" fillId="0" borderId="8" xfId="7" applyNumberFormat="1" applyFont="1" applyBorder="1" applyAlignment="1">
      <alignment horizontal="center"/>
    </xf>
    <xf numFmtId="177" fontId="0" fillId="0" borderId="19" xfId="7" applyNumberFormat="1" applyFont="1" applyBorder="1" applyAlignment="1">
      <alignment horizontal="center"/>
    </xf>
    <xf numFmtId="177" fontId="0" fillId="0" borderId="20" xfId="7" applyNumberFormat="1" applyFont="1" applyBorder="1" applyAlignment="1">
      <alignment horizontal="center"/>
    </xf>
    <xf numFmtId="0" fontId="10" fillId="7" borderId="7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4" fillId="8" borderId="12" xfId="0" applyFont="1" applyFill="1" applyBorder="1" applyAlignment="1">
      <alignment horizontal="center"/>
    </xf>
    <xf numFmtId="0" fontId="19" fillId="11" borderId="21" xfId="0" applyFont="1" applyFill="1" applyBorder="1" applyAlignment="1">
      <alignment horizontal="center" vertical="center" wrapText="1"/>
    </xf>
    <xf numFmtId="0" fontId="19" fillId="11" borderId="0" xfId="0" applyFont="1" applyFill="1" applyAlignment="1">
      <alignment horizontal="center" vertical="center" wrapText="1"/>
    </xf>
    <xf numFmtId="0" fontId="25" fillId="7" borderId="4" xfId="2" applyFont="1" applyFill="1" applyBorder="1" applyAlignment="1">
      <alignment horizontal="center"/>
    </xf>
    <xf numFmtId="0" fontId="25" fillId="7" borderId="5" xfId="2" applyFont="1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33" fillId="22" borderId="0" xfId="0" applyFont="1" applyFill="1" applyAlignment="1">
      <alignment horizontal="center"/>
    </xf>
    <xf numFmtId="0" fontId="0" fillId="22" borderId="0" xfId="0" applyFill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9">
    <cellStyle name="Comma" xfId="6" builtinId="3"/>
    <cellStyle name="Currency" xfId="7" builtinId="4"/>
    <cellStyle name="Normal" xfId="0" builtinId="0"/>
    <cellStyle name="Normal 2" xfId="2" xr:uid="{95FE13D7-E64F-4C4F-BC01-C57CE500107E}"/>
    <cellStyle name="Normal 3" xfId="1" xr:uid="{FA67B11D-C21F-4FA9-9439-DD128F087227}"/>
    <cellStyle name="Normal 4" xfId="3" xr:uid="{4DFDCDE9-0FD5-4E28-AD5F-0152D882B62F}"/>
    <cellStyle name="Normal 5" xfId="4" xr:uid="{425061C3-08F1-4FAD-B593-2AC58B609BC8}"/>
    <cellStyle name="Normal 6" xfId="5" xr:uid="{3712B7F6-99A4-440F-AE84-EAF59E95A108}"/>
    <cellStyle name="Per 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C5A6-F8A9-44E4-9807-D21CED8A600A}">
  <dimension ref="B4:D12"/>
  <sheetViews>
    <sheetView tabSelected="1" workbookViewId="0">
      <selection activeCell="C12" sqref="C12"/>
    </sheetView>
  </sheetViews>
  <sheetFormatPr baseColWidth="10" defaultColWidth="8.83203125" defaultRowHeight="15"/>
  <cols>
    <col min="2" max="2" width="23.1640625" customWidth="1"/>
    <col min="3" max="3" width="16.5" customWidth="1"/>
  </cols>
  <sheetData>
    <row r="4" spans="2:4">
      <c r="B4" s="47" t="s">
        <v>66</v>
      </c>
      <c r="C4" s="282" t="s">
        <v>67</v>
      </c>
      <c r="D4" s="61"/>
    </row>
    <row r="5" spans="2:4">
      <c r="B5" s="46" t="s">
        <v>248</v>
      </c>
      <c r="C5" s="283" t="s">
        <v>243</v>
      </c>
      <c r="D5" s="61"/>
    </row>
    <row r="6" spans="2:4">
      <c r="B6" s="46" t="s">
        <v>249</v>
      </c>
      <c r="C6" s="283" t="s">
        <v>244</v>
      </c>
      <c r="D6" s="61"/>
    </row>
    <row r="7" spans="2:4">
      <c r="B7" s="46" t="s">
        <v>250</v>
      </c>
      <c r="C7" s="283" t="s">
        <v>245</v>
      </c>
      <c r="D7" s="61"/>
    </row>
    <row r="8" spans="2:4">
      <c r="B8" s="46" t="s">
        <v>251</v>
      </c>
      <c r="C8" s="283" t="s">
        <v>246</v>
      </c>
      <c r="D8" s="61"/>
    </row>
    <row r="9" spans="2:4">
      <c r="B9" s="46" t="s">
        <v>254</v>
      </c>
      <c r="C9" s="283" t="s">
        <v>255</v>
      </c>
      <c r="D9" s="61"/>
    </row>
    <row r="10" spans="2:4">
      <c r="B10" s="46" t="s">
        <v>252</v>
      </c>
      <c r="C10" s="283" t="s">
        <v>247</v>
      </c>
      <c r="D10" s="61"/>
    </row>
    <row r="11" spans="2:4">
      <c r="D11" s="61"/>
    </row>
    <row r="12" spans="2:4">
      <c r="B12" t="s">
        <v>253</v>
      </c>
      <c r="C12">
        <v>9681019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E5A9-FAC4-492F-A15A-BB2141AB2517}">
  <dimension ref="A1:Z105"/>
  <sheetViews>
    <sheetView zoomScale="90" zoomScaleNormal="90" workbookViewId="0">
      <pane xSplit="1" ySplit="1" topLeftCell="E82" activePane="bottomRight" state="frozen"/>
      <selection pane="topRight" activeCell="B1" sqref="B1"/>
      <selection pane="bottomLeft" activeCell="A2" sqref="A2"/>
      <selection pane="bottomRight" activeCell="N29" sqref="N29"/>
    </sheetView>
  </sheetViews>
  <sheetFormatPr baseColWidth="10" defaultColWidth="8.83203125" defaultRowHeight="15"/>
  <cols>
    <col min="1" max="1" width="73.83203125" customWidth="1"/>
    <col min="2" max="4" width="12" bestFit="1" customWidth="1"/>
    <col min="5" max="5" width="11.5" bestFit="1" customWidth="1"/>
    <col min="6" max="6" width="11.33203125" customWidth="1"/>
    <col min="7" max="7" width="10.1640625" customWidth="1"/>
    <col min="8" max="12" width="10.6640625" bestFit="1" customWidth="1"/>
    <col min="13" max="13" width="26.33203125" customWidth="1"/>
    <col min="14" max="18" width="10.5" bestFit="1" customWidth="1"/>
    <col min="19" max="19" width="20.6640625" customWidth="1"/>
    <col min="21" max="24" width="11.5" bestFit="1" customWidth="1"/>
    <col min="25" max="25" width="17.1640625" customWidth="1"/>
  </cols>
  <sheetData>
    <row r="1" spans="1:25" ht="33" thickBot="1">
      <c r="B1" s="2">
        <v>2024</v>
      </c>
      <c r="C1" s="2">
        <v>2023</v>
      </c>
      <c r="D1" s="2">
        <v>2022</v>
      </c>
      <c r="E1" s="2">
        <v>2021</v>
      </c>
      <c r="F1" s="2">
        <v>2020</v>
      </c>
      <c r="G1" s="27"/>
      <c r="H1" s="16" t="s">
        <v>58</v>
      </c>
      <c r="I1" s="17" t="s">
        <v>54</v>
      </c>
      <c r="J1" s="17" t="s">
        <v>53</v>
      </c>
      <c r="K1" s="17" t="s">
        <v>52</v>
      </c>
      <c r="L1" s="18" t="s">
        <v>51</v>
      </c>
      <c r="N1" s="19" t="s">
        <v>68</v>
      </c>
      <c r="O1" s="20" t="s">
        <v>56</v>
      </c>
      <c r="P1" s="19" t="s">
        <v>69</v>
      </c>
      <c r="Q1" s="20" t="s">
        <v>70</v>
      </c>
      <c r="R1" s="19" t="s">
        <v>71</v>
      </c>
      <c r="S1" s="22" t="s">
        <v>57</v>
      </c>
      <c r="U1" s="67" t="s">
        <v>116</v>
      </c>
      <c r="V1" s="68" t="s">
        <v>117</v>
      </c>
      <c r="W1" s="68" t="s">
        <v>119</v>
      </c>
      <c r="X1" s="68" t="s">
        <v>118</v>
      </c>
      <c r="Y1" s="69" t="s">
        <v>120</v>
      </c>
    </row>
    <row r="2" spans="1:25">
      <c r="A2" s="15" t="s">
        <v>49</v>
      </c>
      <c r="H2" s="290" t="s">
        <v>55</v>
      </c>
      <c r="I2" s="290"/>
      <c r="J2" s="290"/>
      <c r="K2" s="290"/>
      <c r="L2" s="290"/>
      <c r="N2" s="114"/>
      <c r="O2" s="114"/>
      <c r="P2" s="114"/>
      <c r="Q2" s="114"/>
      <c r="R2" s="114"/>
      <c r="S2" s="114"/>
    </row>
    <row r="3" spans="1:25">
      <c r="A3" s="70" t="s">
        <v>121</v>
      </c>
      <c r="B3" s="8">
        <v>8967.41</v>
      </c>
      <c r="C3" s="8">
        <v>8168.95</v>
      </c>
      <c r="D3" s="8">
        <v>9340.15</v>
      </c>
      <c r="E3" s="8">
        <v>8754.1200000000008</v>
      </c>
      <c r="F3" s="8">
        <v>6831.84</v>
      </c>
      <c r="G3" s="28"/>
      <c r="H3" s="291"/>
      <c r="I3" s="291"/>
      <c r="J3" s="291"/>
      <c r="K3" s="291"/>
      <c r="L3" s="291"/>
      <c r="N3" s="292">
        <f>B4/B3</f>
        <v>0.90387637010017385</v>
      </c>
      <c r="O3" s="292">
        <f>C4/C3</f>
        <v>0.87524712478347899</v>
      </c>
      <c r="P3" s="292">
        <f>D4/D3</f>
        <v>0.76870071679791008</v>
      </c>
      <c r="Q3" s="292">
        <f>E4/E3</f>
        <v>0.78047707822145451</v>
      </c>
      <c r="R3" s="292">
        <f>F4/F3</f>
        <v>0.88084615564767321</v>
      </c>
      <c r="S3" s="292">
        <f>AVERAGE(N3:R4)</f>
        <v>0.84182948911013822</v>
      </c>
      <c r="U3" s="278">
        <f>Regression!L27</f>
        <v>9948.5408691390949</v>
      </c>
      <c r="V3" s="278">
        <f>Regression!L28</f>
        <v>10340.633131270746</v>
      </c>
      <c r="W3" s="278">
        <f>Regression!L29</f>
        <v>10868.868824215502</v>
      </c>
      <c r="X3" s="278">
        <f>Regression!L30</f>
        <v>11328.863254502505</v>
      </c>
      <c r="Y3" s="278">
        <f>Regression!L31</f>
        <v>11742.245533706326</v>
      </c>
    </row>
    <row r="4" spans="1:25">
      <c r="A4" s="12" t="s">
        <v>65</v>
      </c>
      <c r="B4" s="7">
        <v>8105.43</v>
      </c>
      <c r="C4" s="7">
        <v>7149.85</v>
      </c>
      <c r="D4" s="7">
        <v>7179.78</v>
      </c>
      <c r="E4" s="7">
        <v>6832.39</v>
      </c>
      <c r="F4" s="7">
        <v>6017.8</v>
      </c>
      <c r="G4" s="29"/>
      <c r="H4" s="291"/>
      <c r="I4" s="291"/>
      <c r="J4" s="291"/>
      <c r="K4" s="291"/>
      <c r="L4" s="291"/>
      <c r="N4" s="292"/>
      <c r="O4" s="292"/>
      <c r="P4" s="292"/>
      <c r="Q4" s="292"/>
      <c r="R4" s="292"/>
      <c r="S4" s="292"/>
      <c r="U4" s="278">
        <f>U3*$S$3</f>
        <v>8374.975077258694</v>
      </c>
      <c r="V4" s="278">
        <f t="shared" ref="V4:Y4" si="0">V3*$S$3</f>
        <v>8705.0499059730209</v>
      </c>
      <c r="W4" s="278">
        <f t="shared" si="0"/>
        <v>9149.734289494445</v>
      </c>
      <c r="X4" s="278">
        <f t="shared" si="0"/>
        <v>9536.9711657364605</v>
      </c>
      <c r="Y4" s="278">
        <f t="shared" si="0"/>
        <v>9884.9685586457981</v>
      </c>
    </row>
    <row r="5" spans="1:25">
      <c r="A5" s="14" t="s">
        <v>125</v>
      </c>
      <c r="B5" s="8">
        <v>861.97</v>
      </c>
      <c r="C5" s="8">
        <v>1019.1</v>
      </c>
      <c r="D5" s="8">
        <v>2160.37</v>
      </c>
      <c r="E5" s="8">
        <v>1921.73</v>
      </c>
      <c r="F5" s="8">
        <v>814.05</v>
      </c>
      <c r="G5" s="31"/>
      <c r="H5" s="291"/>
      <c r="I5" s="291"/>
      <c r="J5" s="291"/>
      <c r="K5" s="291"/>
      <c r="L5" s="291"/>
      <c r="N5" s="113"/>
      <c r="O5" s="113"/>
      <c r="P5" s="113"/>
      <c r="Q5" s="113"/>
      <c r="R5" s="113"/>
      <c r="S5" s="113"/>
      <c r="U5" s="279">
        <f>U3-U4</f>
        <v>1573.5657918804009</v>
      </c>
      <c r="V5" s="279">
        <f t="shared" ref="V5:Y5" si="1">V3-V4</f>
        <v>1635.5832252977252</v>
      </c>
      <c r="W5" s="279">
        <f t="shared" si="1"/>
        <v>1719.1345347210572</v>
      </c>
      <c r="X5" s="279">
        <f t="shared" si="1"/>
        <v>1791.8920887660443</v>
      </c>
      <c r="Y5" s="279">
        <f t="shared" si="1"/>
        <v>1857.2769750605275</v>
      </c>
    </row>
    <row r="6" spans="1:25">
      <c r="A6" s="12" t="s">
        <v>83</v>
      </c>
      <c r="B6" s="24">
        <v>82.92</v>
      </c>
      <c r="C6" s="24">
        <v>71.63</v>
      </c>
      <c r="D6" s="24">
        <v>67.989999999999995</v>
      </c>
      <c r="E6" s="24">
        <v>68.2</v>
      </c>
      <c r="F6" s="24">
        <v>65.209999999999994</v>
      </c>
      <c r="G6" s="29"/>
      <c r="H6" s="291"/>
      <c r="I6" s="291"/>
      <c r="J6" s="291"/>
      <c r="K6" s="291"/>
      <c r="L6" s="291"/>
      <c r="N6" s="26">
        <f t="shared" ref="N6:R7" si="2">B6/B3</f>
        <v>9.2468170854237731E-3</v>
      </c>
      <c r="O6" s="26">
        <f t="shared" si="2"/>
        <v>8.7685687879103177E-3</v>
      </c>
      <c r="P6" s="26">
        <f t="shared" si="2"/>
        <v>7.2793263491485677E-3</v>
      </c>
      <c r="Q6" s="26">
        <f t="shared" si="2"/>
        <v>7.7906174464138023E-3</v>
      </c>
      <c r="R6" s="26">
        <f t="shared" si="2"/>
        <v>9.5450127637649578E-3</v>
      </c>
      <c r="S6" s="26">
        <f>AVERAGE(N6:R6)</f>
        <v>8.5260684865322844E-3</v>
      </c>
      <c r="U6" s="278">
        <f>U3*$S$6</f>
        <v>84.821940791345341</v>
      </c>
      <c r="V6" s="278">
        <f t="shared" ref="V6:Y6" si="3">V3*$S$6</f>
        <v>88.164946271319167</v>
      </c>
      <c r="W6" s="278">
        <f t="shared" si="3"/>
        <v>92.668719966396992</v>
      </c>
      <c r="X6" s="278">
        <f t="shared" si="3"/>
        <v>96.590663982447381</v>
      </c>
      <c r="Y6" s="278">
        <f t="shared" si="3"/>
        <v>100.11518960605797</v>
      </c>
    </row>
    <row r="7" spans="1:25">
      <c r="A7" s="12" t="s">
        <v>82</v>
      </c>
      <c r="B7" s="24">
        <v>694.39</v>
      </c>
      <c r="C7" s="24">
        <v>631.29999999999995</v>
      </c>
      <c r="D7" s="24">
        <v>607.42999999999995</v>
      </c>
      <c r="E7" s="24">
        <v>573.39</v>
      </c>
      <c r="F7" s="24">
        <v>540.66</v>
      </c>
      <c r="G7" s="29"/>
      <c r="H7" s="291"/>
      <c r="I7" s="291"/>
      <c r="J7" s="291"/>
      <c r="K7" s="291"/>
      <c r="L7" s="291"/>
      <c r="N7" s="26">
        <f t="shared" si="2"/>
        <v>8.5669730045167244E-2</v>
      </c>
      <c r="O7" s="26">
        <f t="shared" si="2"/>
        <v>8.8295558648083514E-2</v>
      </c>
      <c r="P7" s="26">
        <f t="shared" si="2"/>
        <v>8.4602870840053593E-2</v>
      </c>
      <c r="Q7" s="26">
        <f t="shared" si="2"/>
        <v>8.3922317080845785E-2</v>
      </c>
      <c r="R7" s="26">
        <f t="shared" si="2"/>
        <v>8.9843464388979347E-2</v>
      </c>
      <c r="S7" s="26">
        <f>AVERAGE(N7:R7)</f>
        <v>8.6466788200625894E-2</v>
      </c>
      <c r="U7" s="278">
        <f>$S$7*H33</f>
        <v>263.88626157372619</v>
      </c>
      <c r="V7" s="278">
        <f>$S$7*U33</f>
        <v>287.09605102324883</v>
      </c>
      <c r="W7" s="278">
        <f>$S$7*V33</f>
        <v>298.41109124627911</v>
      </c>
      <c r="X7" s="278">
        <f>$S$7*W33</f>
        <v>313.65497308270085</v>
      </c>
      <c r="Y7" s="278">
        <f>$S$7*X33</f>
        <v>326.9295412998103</v>
      </c>
    </row>
    <row r="8" spans="1:25">
      <c r="A8" s="11" t="s">
        <v>38</v>
      </c>
      <c r="B8" s="9"/>
      <c r="C8" s="9"/>
      <c r="D8" s="9"/>
      <c r="E8" s="9"/>
      <c r="F8" s="9"/>
      <c r="G8" s="30"/>
      <c r="H8" s="291"/>
      <c r="I8" s="291"/>
      <c r="J8" s="291"/>
      <c r="K8" s="291"/>
      <c r="L8" s="291"/>
      <c r="N8" s="113"/>
      <c r="O8" s="113"/>
      <c r="P8" s="113"/>
      <c r="Q8" s="113"/>
      <c r="R8" s="113"/>
      <c r="S8" s="114"/>
      <c r="U8" s="278"/>
      <c r="V8" s="278"/>
      <c r="W8" s="278"/>
      <c r="X8" s="278"/>
      <c r="Y8" s="278"/>
    </row>
    <row r="9" spans="1:25">
      <c r="A9" s="112" t="s">
        <v>50</v>
      </c>
      <c r="B9" s="33">
        <f>B5-(B6+C7)</f>
        <v>147.75000000000011</v>
      </c>
      <c r="C9" s="33">
        <f t="shared" ref="C9:F9" si="4">C5-(C6+D7)</f>
        <v>340.04000000000008</v>
      </c>
      <c r="D9" s="33">
        <f t="shared" si="4"/>
        <v>1518.9899999999998</v>
      </c>
      <c r="E9" s="33">
        <f t="shared" si="4"/>
        <v>1312.87</v>
      </c>
      <c r="F9" s="33">
        <f t="shared" si="4"/>
        <v>748.83999999999992</v>
      </c>
      <c r="G9" s="30"/>
      <c r="H9" s="291"/>
      <c r="I9" s="291"/>
      <c r="J9" s="291"/>
      <c r="K9" s="291"/>
      <c r="L9" s="291"/>
      <c r="N9" s="113"/>
      <c r="O9" s="113"/>
      <c r="P9" s="113"/>
      <c r="Q9" s="113"/>
      <c r="R9" s="113"/>
      <c r="S9" s="114"/>
      <c r="U9" s="279">
        <f>U5-(U6+U7)</f>
        <v>1224.8575895153294</v>
      </c>
      <c r="V9" s="279">
        <f t="shared" ref="V9:Y9" si="5">V5-(V6+V7)</f>
        <v>1260.3222280031573</v>
      </c>
      <c r="W9" s="279">
        <f t="shared" si="5"/>
        <v>1328.0547235083811</v>
      </c>
      <c r="X9" s="279">
        <f t="shared" si="5"/>
        <v>1381.646451700896</v>
      </c>
      <c r="Y9" s="279">
        <f t="shared" si="5"/>
        <v>1430.2322441546594</v>
      </c>
    </row>
    <row r="10" spans="1:25">
      <c r="A10" s="11" t="s">
        <v>39</v>
      </c>
      <c r="B10" s="9"/>
      <c r="C10" s="9"/>
      <c r="D10" s="9"/>
      <c r="E10" s="9"/>
      <c r="F10" s="9"/>
      <c r="G10" s="29"/>
      <c r="H10" s="291"/>
      <c r="I10" s="291"/>
      <c r="J10" s="291"/>
      <c r="K10" s="291"/>
      <c r="L10" s="291"/>
      <c r="N10" s="113"/>
      <c r="O10" s="113"/>
      <c r="P10" s="113"/>
      <c r="Q10" s="113"/>
      <c r="R10" s="113"/>
      <c r="S10" s="113"/>
      <c r="U10" s="278"/>
      <c r="V10" s="278"/>
      <c r="W10" s="278"/>
      <c r="X10" s="278"/>
      <c r="Y10" s="278"/>
    </row>
    <row r="11" spans="1:25">
      <c r="A11" s="12" t="s">
        <v>126</v>
      </c>
      <c r="B11" s="10">
        <v>151.35</v>
      </c>
      <c r="C11" s="10">
        <v>87.02</v>
      </c>
      <c r="D11" s="10">
        <v>79.819999999999993</v>
      </c>
      <c r="E11" s="10">
        <v>92.52</v>
      </c>
      <c r="F11" s="10">
        <v>112.85</v>
      </c>
      <c r="G11" s="29"/>
      <c r="H11" s="291"/>
      <c r="I11" s="291"/>
      <c r="J11" s="291"/>
      <c r="K11" s="291"/>
      <c r="L11" s="291"/>
      <c r="N11" s="113">
        <f>B11/B3</f>
        <v>1.6877782994197878E-2</v>
      </c>
      <c r="O11" s="113">
        <f>C11/C3</f>
        <v>1.0652531843137735E-2</v>
      </c>
      <c r="P11" s="113">
        <f>D11/D3</f>
        <v>8.5459012970883763E-3</v>
      </c>
      <c r="Q11" s="113">
        <f>E11/E3</f>
        <v>1.0568737919973679E-2</v>
      </c>
      <c r="R11" s="113">
        <f>F11/F3</f>
        <v>1.6518243986978615E-2</v>
      </c>
      <c r="S11" s="113">
        <f t="shared" ref="S11" si="6">AVERAGE(N11:R11)</f>
        <v>1.2632639608275256E-2</v>
      </c>
      <c r="U11" s="278">
        <f>U$3*$S11</f>
        <v>125.67633142803167</v>
      </c>
      <c r="V11" s="278">
        <f t="shared" ref="V11:Y12" si="7">V$3*$S11</f>
        <v>130.6294916687342</v>
      </c>
      <c r="W11" s="278">
        <f t="shared" si="7"/>
        <v>137.30250280593287</v>
      </c>
      <c r="X11" s="278">
        <f t="shared" si="7"/>
        <v>143.11344666556246</v>
      </c>
      <c r="Y11" s="278">
        <f t="shared" si="7"/>
        <v>148.33555601919176</v>
      </c>
    </row>
    <row r="12" spans="1:25">
      <c r="A12" s="13" t="s">
        <v>40</v>
      </c>
      <c r="B12" s="7"/>
      <c r="C12" s="7"/>
      <c r="D12" s="7"/>
      <c r="E12" s="7">
        <v>5.09</v>
      </c>
      <c r="F12" s="7">
        <v>11.09</v>
      </c>
      <c r="G12" s="30"/>
      <c r="H12" s="291"/>
      <c r="I12" s="291"/>
      <c r="J12" s="291"/>
      <c r="K12" s="291"/>
      <c r="L12" s="291"/>
      <c r="N12" s="113">
        <f>B12/B3</f>
        <v>0</v>
      </c>
      <c r="O12" s="113">
        <f>C12/C3</f>
        <v>0</v>
      </c>
      <c r="P12" s="113">
        <f>D12/D3</f>
        <v>0</v>
      </c>
      <c r="Q12" s="113">
        <f>E12/E3</f>
        <v>5.8144051029686587E-4</v>
      </c>
      <c r="R12" s="113">
        <f>F12/F3</f>
        <v>1.6232815756809292E-3</v>
      </c>
      <c r="S12" s="113">
        <f>AVERAGE(N12:R12)</f>
        <v>4.4094441719555905E-4</v>
      </c>
      <c r="U12" s="278">
        <f>U$3*$S12</f>
        <v>4.3867535554887382</v>
      </c>
      <c r="V12" s="278">
        <f t="shared" si="7"/>
        <v>4.5596444495012678</v>
      </c>
      <c r="W12" s="278">
        <f t="shared" si="7"/>
        <v>4.7925670292686862</v>
      </c>
      <c r="X12" s="278">
        <f t="shared" si="7"/>
        <v>4.9953990052447912</v>
      </c>
      <c r="Y12" s="278">
        <f t="shared" si="7"/>
        <v>5.1776776134272922</v>
      </c>
    </row>
    <row r="13" spans="1:25">
      <c r="A13" s="12" t="s">
        <v>41</v>
      </c>
      <c r="B13" s="7">
        <f>B5-SUM(B11:B12)</f>
        <v>710.62</v>
      </c>
      <c r="C13" s="7">
        <v>932.07</v>
      </c>
      <c r="D13" s="7">
        <v>2080.5500000000002</v>
      </c>
      <c r="E13" s="7">
        <v>1834.3</v>
      </c>
      <c r="F13" s="7">
        <v>712.29</v>
      </c>
      <c r="G13" s="29"/>
      <c r="H13" s="291"/>
      <c r="I13" s="291"/>
      <c r="J13" s="291"/>
      <c r="K13" s="291"/>
      <c r="L13" s="291"/>
      <c r="N13" s="113"/>
      <c r="O13" s="113"/>
      <c r="P13" s="113"/>
      <c r="Q13" s="113"/>
      <c r="R13" s="113"/>
      <c r="S13" s="113"/>
      <c r="U13" s="278">
        <f>U5-SUM(U11:U12)</f>
        <v>1443.5027068968805</v>
      </c>
      <c r="V13" s="278">
        <f t="shared" ref="V13:Y13" si="8">V5-SUM(V11:V12)</f>
        <v>1500.3940891794898</v>
      </c>
      <c r="W13" s="278">
        <f t="shared" si="8"/>
        <v>1577.0394648858555</v>
      </c>
      <c r="X13" s="278">
        <f t="shared" si="8"/>
        <v>1643.7832430952369</v>
      </c>
      <c r="Y13" s="278">
        <f t="shared" si="8"/>
        <v>1703.7637414279084</v>
      </c>
    </row>
    <row r="14" spans="1:25">
      <c r="A14" s="11" t="s">
        <v>42</v>
      </c>
      <c r="B14" s="9"/>
      <c r="C14" s="9"/>
      <c r="D14" s="9"/>
      <c r="E14" s="9"/>
      <c r="F14" s="9"/>
      <c r="G14" s="30"/>
      <c r="H14" s="291"/>
      <c r="I14" s="291"/>
      <c r="J14" s="291"/>
      <c r="K14" s="291"/>
      <c r="L14" s="291"/>
      <c r="N14" s="113"/>
      <c r="O14" s="113"/>
      <c r="P14" s="113"/>
      <c r="Q14" s="113"/>
      <c r="R14" s="113"/>
      <c r="S14" s="114"/>
      <c r="U14" s="278"/>
      <c r="V14" s="278"/>
      <c r="W14" s="278"/>
      <c r="X14" s="278"/>
      <c r="Y14" s="278"/>
    </row>
    <row r="15" spans="1:25">
      <c r="A15" s="12" t="s">
        <v>43</v>
      </c>
      <c r="B15" s="7">
        <v>186.85</v>
      </c>
      <c r="C15" s="7">
        <v>223.26</v>
      </c>
      <c r="D15" s="7">
        <v>561.74</v>
      </c>
      <c r="E15" s="7">
        <v>480.94</v>
      </c>
      <c r="F15" s="7">
        <v>157.16</v>
      </c>
      <c r="G15" s="29"/>
      <c r="H15" s="291"/>
      <c r="I15" s="291"/>
      <c r="J15" s="291"/>
      <c r="K15" s="291"/>
      <c r="L15" s="291"/>
      <c r="N15" s="113">
        <f>B15/B13</f>
        <v>0.26293940502659646</v>
      </c>
      <c r="O15" s="113">
        <f t="shared" ref="O15:R15" si="9">C15/C13</f>
        <v>0.23953136566996039</v>
      </c>
      <c r="P15" s="113">
        <f t="shared" si="9"/>
        <v>0.26999591454182786</v>
      </c>
      <c r="Q15" s="113">
        <f t="shared" si="9"/>
        <v>0.26219266205091862</v>
      </c>
      <c r="R15" s="113">
        <f t="shared" si="9"/>
        <v>0.22064046947170396</v>
      </c>
      <c r="S15" s="113">
        <f>AVERAGE(N15:R15)</f>
        <v>0.25105996335220149</v>
      </c>
      <c r="U15" s="278">
        <f>U13*$S$15</f>
        <v>362.40573669233447</v>
      </c>
      <c r="V15" s="278">
        <f t="shared" ref="V15:Y15" si="10">V13*$S$15</f>
        <v>376.68888504326242</v>
      </c>
      <c r="W15" s="278">
        <f t="shared" si="10"/>
        <v>395.93147025921832</v>
      </c>
      <c r="X15" s="278">
        <f t="shared" si="10"/>
        <v>412.68816077045307</v>
      </c>
      <c r="Y15" s="278">
        <f t="shared" si="10"/>
        <v>427.74686248370034</v>
      </c>
    </row>
    <row r="16" spans="1:25">
      <c r="A16" s="11" t="s">
        <v>44</v>
      </c>
      <c r="B16" s="9"/>
      <c r="C16" s="9"/>
      <c r="D16" s="9"/>
      <c r="E16" s="9"/>
      <c r="F16" s="9"/>
      <c r="G16" s="30"/>
      <c r="H16" s="291"/>
      <c r="I16" s="291"/>
      <c r="J16" s="291"/>
      <c r="K16" s="291"/>
      <c r="L16" s="291"/>
      <c r="N16" s="113"/>
      <c r="O16" s="113"/>
      <c r="P16" s="113"/>
      <c r="Q16" s="113"/>
      <c r="R16" s="113"/>
      <c r="S16" s="114"/>
      <c r="U16" s="278"/>
      <c r="V16" s="278"/>
      <c r="W16" s="278"/>
      <c r="X16" s="278"/>
      <c r="Y16" s="278"/>
    </row>
    <row r="17" spans="1:26">
      <c r="A17" s="12" t="s">
        <v>45</v>
      </c>
      <c r="B17" s="7">
        <v>543.79999999999995</v>
      </c>
      <c r="C17" s="7">
        <v>707.93</v>
      </c>
      <c r="D17" s="7">
        <v>1515.47</v>
      </c>
      <c r="E17" s="7">
        <v>1347.66</v>
      </c>
      <c r="F17" s="7">
        <v>541.9</v>
      </c>
      <c r="G17" s="29"/>
      <c r="H17" s="291"/>
      <c r="I17" s="291"/>
      <c r="J17" s="291"/>
      <c r="K17" s="291"/>
      <c r="L17" s="291"/>
      <c r="N17" s="113">
        <f>B17/B3</f>
        <v>6.0641812964947514E-2</v>
      </c>
      <c r="O17" s="113">
        <f>C17/C3</f>
        <v>8.6661076392926875E-2</v>
      </c>
      <c r="P17" s="113">
        <f>D17/D3</f>
        <v>0.16225328287018945</v>
      </c>
      <c r="Q17" s="113">
        <f>E17/E3</f>
        <v>0.15394579923510301</v>
      </c>
      <c r="R17" s="113">
        <f>F17/F3</f>
        <v>7.9319773296798513E-2</v>
      </c>
      <c r="S17" s="113">
        <f>AVERAGE(N17:R17)</f>
        <v>0.10856434895199307</v>
      </c>
      <c r="U17" s="278">
        <f>U13-U15</f>
        <v>1081.0969702045459</v>
      </c>
      <c r="V17" s="278">
        <f t="shared" ref="V17:Y17" si="11">V13-V15</f>
        <v>1123.7052041362274</v>
      </c>
      <c r="W17" s="278">
        <f t="shared" si="11"/>
        <v>1181.1079946266373</v>
      </c>
      <c r="X17" s="278">
        <f t="shared" si="11"/>
        <v>1231.0950823247838</v>
      </c>
      <c r="Y17" s="278">
        <f t="shared" si="11"/>
        <v>1276.016878944208</v>
      </c>
    </row>
    <row r="18" spans="1:26" ht="15" customHeight="1">
      <c r="A18" s="11" t="s">
        <v>46</v>
      </c>
      <c r="B18" s="9"/>
      <c r="C18" s="9"/>
      <c r="D18" s="9"/>
      <c r="E18" s="9"/>
      <c r="F18" s="9"/>
      <c r="G18" s="28"/>
      <c r="H18" s="291"/>
      <c r="I18" s="291"/>
      <c r="J18" s="291"/>
      <c r="K18" s="291"/>
      <c r="L18" s="291"/>
      <c r="N18" s="113"/>
      <c r="O18" s="113"/>
      <c r="P18" s="113"/>
      <c r="Q18" s="113"/>
      <c r="R18" s="113"/>
      <c r="S18" s="113"/>
      <c r="U18" s="278"/>
      <c r="V18" s="278"/>
      <c r="W18" s="278"/>
      <c r="X18" s="278"/>
      <c r="Y18" s="278"/>
    </row>
    <row r="19" spans="1:26">
      <c r="A19" s="12" t="s">
        <v>47</v>
      </c>
      <c r="B19" s="7">
        <v>32.71</v>
      </c>
      <c r="C19" s="7">
        <v>22.95</v>
      </c>
      <c r="D19" s="7">
        <v>54.9</v>
      </c>
      <c r="E19" s="7">
        <v>32.619999999999997</v>
      </c>
      <c r="F19" s="7">
        <v>14.15</v>
      </c>
      <c r="N19" s="113">
        <f>B19/B3</f>
        <v>3.6476530012567732E-3</v>
      </c>
      <c r="O19" s="113">
        <f>C19/C3</f>
        <v>2.8094185911286028E-3</v>
      </c>
      <c r="P19" s="113">
        <f>D19/D3</f>
        <v>5.8778499274636919E-3</v>
      </c>
      <c r="Q19" s="113">
        <f>E19/E3</f>
        <v>3.7262454707040794E-3</v>
      </c>
      <c r="R19" s="113">
        <f>F19/F3</f>
        <v>2.0711843368697159E-3</v>
      </c>
      <c r="S19" s="113">
        <f t="shared" ref="S19:S20" si="12">AVERAGE(N19:R19)</f>
        <v>3.6264702654845728E-3</v>
      </c>
      <c r="U19" s="278">
        <f>U3*$S$19</f>
        <v>36.078087646890978</v>
      </c>
      <c r="V19" s="278">
        <f t="shared" ref="V19:Y19" si="13">V3*$S$19</f>
        <v>37.499998576837996</v>
      </c>
      <c r="W19" s="278">
        <f t="shared" si="13"/>
        <v>39.415629610469786</v>
      </c>
      <c r="X19" s="278">
        <f t="shared" si="13"/>
        <v>41.083785734194123</v>
      </c>
      <c r="Y19" s="278">
        <f t="shared" si="13"/>
        <v>42.582904278005017</v>
      </c>
    </row>
    <row r="20" spans="1:26">
      <c r="A20" s="14" t="s">
        <v>48</v>
      </c>
      <c r="B20" s="8">
        <v>511.09</v>
      </c>
      <c r="C20" s="8">
        <v>684.98</v>
      </c>
      <c r="D20" s="8">
        <v>1460.57</v>
      </c>
      <c r="E20" s="8">
        <v>1315.04</v>
      </c>
      <c r="F20" s="72">
        <v>527.75</v>
      </c>
      <c r="G20" s="61"/>
      <c r="H20" s="73"/>
      <c r="I20" s="73"/>
      <c r="J20" s="73"/>
      <c r="K20" s="73"/>
      <c r="L20" s="73"/>
      <c r="M20" s="74"/>
      <c r="N20" s="76">
        <f>B20/B3</f>
        <v>5.6994159963690741E-2</v>
      </c>
      <c r="O20" s="76">
        <f>C20/C3</f>
        <v>8.3851657801798277E-2</v>
      </c>
      <c r="P20" s="76">
        <f>D20/D3</f>
        <v>0.15637543294272577</v>
      </c>
      <c r="Q20" s="76">
        <f>E20/E3</f>
        <v>0.15021955376439891</v>
      </c>
      <c r="R20" s="76">
        <f>F20/F3</f>
        <v>7.7248588959928796E-2</v>
      </c>
      <c r="S20" s="115">
        <f t="shared" si="12"/>
        <v>0.1049378786865085</v>
      </c>
      <c r="U20" s="279">
        <f>U17+U19</f>
        <v>1117.1750578514368</v>
      </c>
      <c r="V20" s="279">
        <f>V17+V19</f>
        <v>1161.2052027130653</v>
      </c>
      <c r="W20" s="279">
        <f t="shared" ref="W20:Y20" si="14">W17+W19</f>
        <v>1220.523624237107</v>
      </c>
      <c r="X20" s="279">
        <f t="shared" si="14"/>
        <v>1272.178868058978</v>
      </c>
      <c r="Y20" s="279">
        <f t="shared" si="14"/>
        <v>1318.5997832222131</v>
      </c>
      <c r="Z20" s="71"/>
    </row>
    <row r="21" spans="1:26" ht="15" customHeight="1" thickBot="1">
      <c r="G21" s="32"/>
      <c r="U21" s="278"/>
      <c r="V21" s="278"/>
      <c r="W21" s="278"/>
      <c r="X21" s="278"/>
      <c r="Y21" s="278"/>
    </row>
    <row r="22" spans="1:26" ht="30.75" customHeight="1" thickBot="1">
      <c r="A22" s="71" t="s">
        <v>59</v>
      </c>
      <c r="G22" s="75"/>
      <c r="H22" s="16" t="s">
        <v>58</v>
      </c>
      <c r="I22" s="17" t="s">
        <v>54</v>
      </c>
      <c r="J22" s="17" t="s">
        <v>53</v>
      </c>
      <c r="K22" s="17" t="s">
        <v>52</v>
      </c>
      <c r="L22" s="18" t="s">
        <v>51</v>
      </c>
      <c r="M22" s="55"/>
      <c r="N22" s="19" t="s">
        <v>60</v>
      </c>
      <c r="O22" s="20" t="s">
        <v>64</v>
      </c>
      <c r="P22" s="20" t="s">
        <v>61</v>
      </c>
      <c r="Q22" s="20" t="s">
        <v>62</v>
      </c>
      <c r="R22" s="21" t="s">
        <v>63</v>
      </c>
      <c r="S22" s="22" t="s">
        <v>57</v>
      </c>
      <c r="T22" s="55"/>
      <c r="U22" s="278"/>
      <c r="V22" s="278"/>
      <c r="W22" s="278"/>
      <c r="X22" s="278"/>
      <c r="Y22" s="278"/>
    </row>
    <row r="23" spans="1:26" ht="15" customHeight="1">
      <c r="A23" s="3" t="s">
        <v>0</v>
      </c>
      <c r="B23" s="4"/>
      <c r="C23" s="4"/>
      <c r="D23" s="4"/>
      <c r="E23" s="4"/>
      <c r="F23" s="4"/>
      <c r="G23" s="7"/>
      <c r="U23" s="278"/>
      <c r="V23" s="278"/>
      <c r="W23" s="278"/>
      <c r="X23" s="278"/>
      <c r="Y23" s="278"/>
    </row>
    <row r="24" spans="1:26" ht="15" customHeight="1">
      <c r="A24" s="1" t="s">
        <v>1</v>
      </c>
      <c r="B24" s="7">
        <v>645</v>
      </c>
      <c r="C24" s="7">
        <v>797.99</v>
      </c>
      <c r="D24" s="7">
        <v>780</v>
      </c>
      <c r="E24" s="7">
        <v>899.83</v>
      </c>
      <c r="F24" s="7">
        <v>1230.1500000000001</v>
      </c>
      <c r="G24" s="7"/>
      <c r="H24" s="7">
        <v>645</v>
      </c>
      <c r="I24" s="7">
        <v>797.99</v>
      </c>
      <c r="J24" s="7">
        <v>780</v>
      </c>
      <c r="K24" s="7">
        <v>899.83</v>
      </c>
      <c r="L24" s="7">
        <v>1230.1500000000001</v>
      </c>
      <c r="N24" s="25">
        <f>H24/$B$4</f>
        <v>7.9576284046620593E-2</v>
      </c>
      <c r="O24" s="25">
        <f t="shared" ref="O24:R24" si="15">I24/$B$4</f>
        <v>9.8451285126143831E-2</v>
      </c>
      <c r="P24" s="25">
        <f t="shared" si="15"/>
        <v>9.623178535870397E-2</v>
      </c>
      <c r="Q24" s="25">
        <f t="shared" si="15"/>
        <v>0.11101570181964436</v>
      </c>
      <c r="R24" s="25">
        <f t="shared" si="15"/>
        <v>0.15176862917821757</v>
      </c>
      <c r="S24" s="25">
        <f>AVERAGE(N24:R24)</f>
        <v>0.10740873710586607</v>
      </c>
      <c r="U24" s="278">
        <f>U54+U62-U38-U32-U31-U34</f>
        <v>2694.5166163950767</v>
      </c>
      <c r="V24" s="278">
        <f t="shared" ref="V24:Y24" si="16">V54+V62-V38-V32-V31-V34</f>
        <v>2800.7130053299588</v>
      </c>
      <c r="W24" s="278">
        <f t="shared" si="16"/>
        <v>2943.7832174077771</v>
      </c>
      <c r="X24" s="278">
        <f t="shared" si="16"/>
        <v>3068.3705968196086</v>
      </c>
      <c r="Y24" s="278">
        <f t="shared" si="16"/>
        <v>3180.3332891269083</v>
      </c>
    </row>
    <row r="25" spans="1:26" ht="15" customHeight="1">
      <c r="A25" s="5" t="s">
        <v>2</v>
      </c>
      <c r="B25" s="7">
        <v>1362.18</v>
      </c>
      <c r="C25" s="7">
        <v>1022.18</v>
      </c>
      <c r="D25" s="7">
        <v>1217.46</v>
      </c>
      <c r="E25" s="7">
        <v>1088.72</v>
      </c>
      <c r="F25" s="7">
        <v>986.77</v>
      </c>
      <c r="G25" s="7"/>
      <c r="H25" s="7">
        <v>1362.18</v>
      </c>
      <c r="I25" s="7">
        <v>1022.18</v>
      </c>
      <c r="J25" s="7">
        <v>1217.46</v>
      </c>
      <c r="K25" s="7">
        <v>1088.72</v>
      </c>
      <c r="L25" s="7">
        <v>986.77</v>
      </c>
      <c r="N25" s="25">
        <f t="shared" ref="N25:N28" si="17">H25/$B$4</f>
        <v>0.16805770946143511</v>
      </c>
      <c r="O25" s="25">
        <f t="shared" ref="O25:O28" si="18">I25/$B$4</f>
        <v>0.12611052097174363</v>
      </c>
      <c r="P25" s="25">
        <f t="shared" ref="P25:P28" si="19">J25/$B$4</f>
        <v>0.15020301205488173</v>
      </c>
      <c r="Q25" s="25">
        <f t="shared" ref="Q25:Q28" si="20">K25/$B$4</f>
        <v>0.13431983250734383</v>
      </c>
      <c r="R25" s="25">
        <f t="shared" ref="R25:R28" si="21">L25/$B$4</f>
        <v>0.12174184466462605</v>
      </c>
      <c r="S25" s="25">
        <f t="shared" ref="S25:S28" si="22">AVERAGE(N25:R25)</f>
        <v>0.14008658393200607</v>
      </c>
      <c r="U25" s="278">
        <f>U3*$S$25</f>
        <v>1393.6571054656465</v>
      </c>
      <c r="V25" s="278">
        <f>V3*$S$25</f>
        <v>1448.5839710538421</v>
      </c>
      <c r="W25" s="278">
        <f>W3*$S$25</f>
        <v>1522.582704789429</v>
      </c>
      <c r="X25" s="278">
        <f>X3*$S$25</f>
        <v>1587.0217531560845</v>
      </c>
      <c r="Y25" s="278">
        <f>Y3*$S$25</f>
        <v>1644.9310645077746</v>
      </c>
    </row>
    <row r="26" spans="1:26" ht="15" customHeight="1">
      <c r="A26" s="1" t="s">
        <v>3</v>
      </c>
      <c r="B26" s="7">
        <v>910.89</v>
      </c>
      <c r="C26" s="7">
        <v>770.96</v>
      </c>
      <c r="D26" s="7">
        <v>930.94</v>
      </c>
      <c r="E26" s="7">
        <v>846.36</v>
      </c>
      <c r="F26" s="7">
        <v>713.74</v>
      </c>
      <c r="G26" s="7"/>
      <c r="H26" s="7">
        <v>910.89</v>
      </c>
      <c r="I26" s="7">
        <v>770.96</v>
      </c>
      <c r="J26" s="7">
        <v>930.94</v>
      </c>
      <c r="K26" s="7">
        <v>846.36</v>
      </c>
      <c r="L26" s="7">
        <v>713.74</v>
      </c>
      <c r="N26" s="25">
        <f t="shared" si="17"/>
        <v>0.11238021918639726</v>
      </c>
      <c r="O26" s="25">
        <f t="shared" si="18"/>
        <v>9.5116483641213362E-2</v>
      </c>
      <c r="P26" s="25">
        <f t="shared" si="19"/>
        <v>0.11485386956645113</v>
      </c>
      <c r="Q26" s="25">
        <f t="shared" si="20"/>
        <v>0.10441888955922141</v>
      </c>
      <c r="R26" s="25">
        <f t="shared" si="21"/>
        <v>8.8057018566565864E-2</v>
      </c>
      <c r="S26" s="25">
        <f t="shared" si="22"/>
        <v>0.1029652961039698</v>
      </c>
      <c r="U26" s="278">
        <f>U3*$S$26</f>
        <v>1024.3544563933519</v>
      </c>
      <c r="V26" s="278">
        <f>V3*$S$26</f>
        <v>1064.7263522638127</v>
      </c>
      <c r="W26" s="278">
        <f>W3*$S$26</f>
        <v>1119.1162968005553</v>
      </c>
      <c r="X26" s="278">
        <f>X3*$S$26</f>
        <v>1166.4797595212335</v>
      </c>
      <c r="Y26" s="278">
        <f>Y3*$S$26</f>
        <v>1209.0437883035888</v>
      </c>
    </row>
    <row r="27" spans="1:26" ht="15" customHeight="1">
      <c r="A27" s="1" t="s">
        <v>4</v>
      </c>
      <c r="B27" s="7">
        <v>154.84</v>
      </c>
      <c r="C27" s="7">
        <v>171</v>
      </c>
      <c r="D27" s="7">
        <v>174.37</v>
      </c>
      <c r="E27" s="7">
        <v>191.57</v>
      </c>
      <c r="F27" s="7">
        <v>145.49</v>
      </c>
      <c r="G27" s="8"/>
      <c r="H27" s="7">
        <v>154.84</v>
      </c>
      <c r="I27" s="7">
        <v>171</v>
      </c>
      <c r="J27" s="7">
        <v>174.37</v>
      </c>
      <c r="K27" s="7">
        <v>191.57</v>
      </c>
      <c r="L27" s="7">
        <v>145.49</v>
      </c>
      <c r="N27" s="25">
        <f t="shared" si="17"/>
        <v>1.9103243134540673E-2</v>
      </c>
      <c r="O27" s="25">
        <f t="shared" si="18"/>
        <v>2.109696832863895E-2</v>
      </c>
      <c r="P27" s="25">
        <f t="shared" si="19"/>
        <v>2.1512738991022066E-2</v>
      </c>
      <c r="Q27" s="25">
        <f t="shared" si="20"/>
        <v>2.3634773232265281E-2</v>
      </c>
      <c r="R27" s="25">
        <f t="shared" si="21"/>
        <v>1.7949695451074155E-2</v>
      </c>
      <c r="S27" s="25">
        <f t="shared" si="22"/>
        <v>2.0659483827508224E-2</v>
      </c>
      <c r="U27" s="278">
        <f>U3*$S$27</f>
        <v>205.53171919328375</v>
      </c>
      <c r="V27" s="278">
        <f>V3*$S$27</f>
        <v>213.63214294168372</v>
      </c>
      <c r="W27" s="278">
        <f>W3*$S$27</f>
        <v>224.54521969718849</v>
      </c>
      <c r="X27" s="278">
        <f>X3*$S$27</f>
        <v>234.0484671904467</v>
      </c>
      <c r="Y27" s="278">
        <f>Y3*$S$27</f>
        <v>242.58873170223652</v>
      </c>
    </row>
    <row r="28" spans="1:26" ht="15" customHeight="1">
      <c r="A28" s="5" t="s">
        <v>5</v>
      </c>
      <c r="B28" s="7">
        <v>208.83</v>
      </c>
      <c r="C28" s="7">
        <v>199.2</v>
      </c>
      <c r="D28" s="7">
        <v>216.19</v>
      </c>
      <c r="E28" s="7">
        <v>224.39</v>
      </c>
      <c r="F28" s="7">
        <v>163.43</v>
      </c>
      <c r="G28" s="32"/>
      <c r="H28" s="7">
        <v>208.83</v>
      </c>
      <c r="I28" s="7">
        <v>199.2</v>
      </c>
      <c r="J28" s="7">
        <v>216.19</v>
      </c>
      <c r="K28" s="7">
        <v>224.39</v>
      </c>
      <c r="L28" s="7">
        <v>163.43</v>
      </c>
      <c r="N28" s="25">
        <f t="shared" si="17"/>
        <v>2.5764209918536094E-2</v>
      </c>
      <c r="O28" s="25">
        <f t="shared" si="18"/>
        <v>2.4576117491607475E-2</v>
      </c>
      <c r="P28" s="25">
        <f t="shared" si="19"/>
        <v>2.6672243175254119E-2</v>
      </c>
      <c r="Q28" s="25">
        <f t="shared" si="20"/>
        <v>2.7683910662358441E-2</v>
      </c>
      <c r="R28" s="25">
        <f t="shared" si="21"/>
        <v>2.0163026514324348E-2</v>
      </c>
      <c r="S28" s="25">
        <f t="shared" si="22"/>
        <v>2.4971901552416097E-2</v>
      </c>
      <c r="U28" s="278">
        <f>U3*$S$28</f>
        <v>248.43398317432954</v>
      </c>
      <c r="V28" s="278">
        <f>V3*$S$28</f>
        <v>258.22527254374529</v>
      </c>
      <c r="W28" s="278">
        <f>W3*$S$28</f>
        <v>271.41632226443403</v>
      </c>
      <c r="X28" s="278">
        <f>X3*$S$28</f>
        <v>282.90325789222078</v>
      </c>
      <c r="Y28" s="278">
        <f>Y3*$S$28</f>
        <v>293.22619947201196</v>
      </c>
    </row>
    <row r="29" spans="1:26" ht="15" customHeight="1">
      <c r="A29" s="6" t="s">
        <v>6</v>
      </c>
      <c r="B29" s="8">
        <f>SUM(B24:B28)</f>
        <v>3281.7400000000002</v>
      </c>
      <c r="C29" s="8">
        <f t="shared" ref="C29:F29" si="23">SUM(C24:C28)</f>
        <v>2961.33</v>
      </c>
      <c r="D29" s="8">
        <f t="shared" si="23"/>
        <v>3318.96</v>
      </c>
      <c r="E29" s="8">
        <f t="shared" si="23"/>
        <v>3250.8700000000003</v>
      </c>
      <c r="F29" s="8">
        <f t="shared" si="23"/>
        <v>3239.5799999999995</v>
      </c>
      <c r="G29" s="7"/>
      <c r="H29" s="8">
        <f>SUM(H24:H28)</f>
        <v>3281.7400000000002</v>
      </c>
      <c r="I29" s="8">
        <f t="shared" ref="I29" si="24">SUM(I24:I28)</f>
        <v>2961.33</v>
      </c>
      <c r="J29" s="8">
        <f t="shared" ref="J29" si="25">SUM(J24:J28)</f>
        <v>3318.96</v>
      </c>
      <c r="K29" s="8">
        <f t="shared" ref="K29" si="26">SUM(K24:K28)</f>
        <v>3250.8700000000003</v>
      </c>
      <c r="L29" s="8">
        <f t="shared" ref="L29" si="27">SUM(L24:L28)</f>
        <v>3239.5799999999995</v>
      </c>
      <c r="N29" s="25"/>
      <c r="O29" s="25"/>
      <c r="P29" s="25"/>
      <c r="Q29" s="25"/>
      <c r="R29" s="25"/>
      <c r="S29" s="25"/>
      <c r="U29" s="279">
        <f>SUM(U24:U28)</f>
        <v>5566.4938806216878</v>
      </c>
      <c r="V29" s="279">
        <f t="shared" ref="V29:Y29" si="28">SUM(V24:V28)</f>
        <v>5785.8807441330437</v>
      </c>
      <c r="W29" s="279">
        <f t="shared" si="28"/>
        <v>6081.4437609593842</v>
      </c>
      <c r="X29" s="279">
        <f t="shared" si="28"/>
        <v>6338.8238345795935</v>
      </c>
      <c r="Y29" s="279">
        <f t="shared" si="28"/>
        <v>6570.1230731125206</v>
      </c>
    </row>
    <row r="30" spans="1:26" s="106" customFormat="1" ht="15" customHeight="1">
      <c r="A30" s="103" t="s">
        <v>7</v>
      </c>
      <c r="B30" s="110"/>
      <c r="C30" s="110"/>
      <c r="D30" s="110"/>
      <c r="E30" s="110"/>
      <c r="F30" s="110"/>
      <c r="G30" s="105"/>
      <c r="N30" s="107"/>
      <c r="O30" s="107"/>
      <c r="P30" s="107"/>
      <c r="Q30" s="107"/>
      <c r="R30" s="107"/>
      <c r="S30" s="107"/>
      <c r="U30" s="280"/>
      <c r="V30" s="280"/>
      <c r="W30" s="280"/>
      <c r="X30" s="280"/>
      <c r="Y30" s="280"/>
    </row>
    <row r="31" spans="1:26" ht="15" customHeight="1">
      <c r="A31" s="5" t="s">
        <v>8</v>
      </c>
      <c r="B31" s="7">
        <v>198.35</v>
      </c>
      <c r="C31" s="7">
        <v>175.8</v>
      </c>
      <c r="D31" s="7">
        <v>145.22</v>
      </c>
      <c r="E31" s="7">
        <v>108.11</v>
      </c>
      <c r="F31" s="7">
        <v>91.75</v>
      </c>
      <c r="G31" s="7"/>
      <c r="H31" s="7">
        <v>198.35</v>
      </c>
      <c r="I31" s="7">
        <v>175.8</v>
      </c>
      <c r="J31" s="7">
        <v>145.22</v>
      </c>
      <c r="K31" s="7">
        <v>108.11</v>
      </c>
      <c r="L31" s="7">
        <v>91.75</v>
      </c>
      <c r="N31" s="25">
        <f t="shared" ref="N31:N37" si="29">H31/$B$4</f>
        <v>2.4471249520383247E-2</v>
      </c>
      <c r="O31" s="25">
        <f t="shared" ref="O31:O37" si="30">I31/$B$4</f>
        <v>2.1689163930846359E-2</v>
      </c>
      <c r="P31" s="25">
        <f t="shared" ref="P31:P37" si="31">J31/$B$4</f>
        <v>1.7916384448449989E-2</v>
      </c>
      <c r="Q31" s="25">
        <f t="shared" ref="Q31:Q37" si="32">K31/$B$4</f>
        <v>1.3337972198883958E-2</v>
      </c>
      <c r="R31" s="25">
        <f t="shared" ref="R31:R37" si="33">L31/$B$4</f>
        <v>1.1319572188027038E-2</v>
      </c>
      <c r="S31" s="25">
        <f t="shared" ref="S31:S37" si="34">AVERAGE(N31:R31)</f>
        <v>1.774686845731812E-2</v>
      </c>
      <c r="U31" s="278">
        <f>U$3*$S31</f>
        <v>176.5554461468648</v>
      </c>
      <c r="V31" s="278">
        <f t="shared" ref="V31:Y37" si="35">V$3*$S31</f>
        <v>183.5138559460475</v>
      </c>
      <c r="W31" s="278">
        <f t="shared" si="35"/>
        <v>192.88838530319839</v>
      </c>
      <c r="X31" s="278">
        <f t="shared" si="35"/>
        <v>201.0518459486008</v>
      </c>
      <c r="Y31" s="278">
        <f t="shared" si="35"/>
        <v>208.38808688021737</v>
      </c>
    </row>
    <row r="32" spans="1:26" ht="15" customHeight="1">
      <c r="A32" s="5" t="s">
        <v>9</v>
      </c>
      <c r="B32" s="7">
        <v>22.24</v>
      </c>
      <c r="C32" s="7">
        <v>37.74</v>
      </c>
      <c r="D32" s="7">
        <v>38.19</v>
      </c>
      <c r="E32" s="7">
        <v>31.55</v>
      </c>
      <c r="F32" s="7">
        <v>50.43</v>
      </c>
      <c r="G32" s="7"/>
      <c r="H32" s="7">
        <v>22.24</v>
      </c>
      <c r="I32" s="7">
        <v>37.74</v>
      </c>
      <c r="J32" s="7">
        <v>38.19</v>
      </c>
      <c r="K32" s="7">
        <v>31.55</v>
      </c>
      <c r="L32" s="7">
        <v>50.43</v>
      </c>
      <c r="N32" s="25">
        <f t="shared" si="29"/>
        <v>2.743839623560995E-3</v>
      </c>
      <c r="O32" s="25">
        <f t="shared" si="30"/>
        <v>4.6561379223557546E-3</v>
      </c>
      <c r="P32" s="25">
        <f t="shared" si="31"/>
        <v>4.7116562600626986E-3</v>
      </c>
      <c r="Q32" s="25">
        <f t="shared" si="32"/>
        <v>3.8924523436757825E-3</v>
      </c>
      <c r="R32" s="25">
        <f t="shared" si="33"/>
        <v>6.2217550456915918E-3</v>
      </c>
      <c r="S32" s="25">
        <f t="shared" si="34"/>
        <v>4.4451682390693643E-3</v>
      </c>
      <c r="U32" s="278">
        <f t="shared" ref="U32:U37" si="36">U$3*$S32</f>
        <v>44.222937896580632</v>
      </c>
      <c r="V32" s="278">
        <f t="shared" si="35"/>
        <v>45.965853966993109</v>
      </c>
      <c r="W32" s="278">
        <f t="shared" si="35"/>
        <v>48.313950492013937</v>
      </c>
      <c r="X32" s="278">
        <f t="shared" si="35"/>
        <v>50.35870312367453</v>
      </c>
      <c r="Y32" s="278">
        <f t="shared" si="35"/>
        <v>52.196256901785453</v>
      </c>
    </row>
    <row r="33" spans="1:25" ht="15" customHeight="1">
      <c r="A33" s="5" t="s">
        <v>123</v>
      </c>
      <c r="B33" s="7">
        <v>3051.88</v>
      </c>
      <c r="C33" s="7">
        <v>2798.11</v>
      </c>
      <c r="D33" s="7">
        <v>2624.86</v>
      </c>
      <c r="E33" s="7">
        <v>2552.92</v>
      </c>
      <c r="F33" s="7">
        <v>2498.08</v>
      </c>
      <c r="G33" s="7"/>
      <c r="H33" s="7">
        <v>3051.88</v>
      </c>
      <c r="I33" s="7">
        <v>2798.11</v>
      </c>
      <c r="J33" s="7">
        <v>2624.86</v>
      </c>
      <c r="K33" s="7">
        <v>2552.92</v>
      </c>
      <c r="L33" s="7">
        <v>2498.08</v>
      </c>
      <c r="N33" s="25">
        <f t="shared" si="29"/>
        <v>0.37652289884682244</v>
      </c>
      <c r="O33" s="25">
        <f t="shared" si="30"/>
        <v>0.34521425760261948</v>
      </c>
      <c r="P33" s="25">
        <f t="shared" si="31"/>
        <v>0.32383969758544578</v>
      </c>
      <c r="Q33" s="25">
        <f t="shared" si="32"/>
        <v>0.31496416599736227</v>
      </c>
      <c r="R33" s="25">
        <f t="shared" si="33"/>
        <v>0.30819833124214258</v>
      </c>
      <c r="S33" s="25">
        <f t="shared" si="34"/>
        <v>0.33374787025487851</v>
      </c>
      <c r="U33" s="278">
        <f t="shared" si="36"/>
        <v>3320.3043272187911</v>
      </c>
      <c r="V33" s="278">
        <f t="shared" si="35"/>
        <v>3451.164284648647</v>
      </c>
      <c r="W33" s="278">
        <f t="shared" si="35"/>
        <v>3627.4618221615692</v>
      </c>
      <c r="X33" s="278">
        <f t="shared" si="35"/>
        <v>3780.9839835989628</v>
      </c>
      <c r="Y33" s="278">
        <f t="shared" si="35"/>
        <v>3918.9494388843455</v>
      </c>
    </row>
    <row r="34" spans="1:25" ht="15" customHeight="1">
      <c r="A34" s="5" t="s">
        <v>10</v>
      </c>
      <c r="B34" s="7">
        <v>74.75</v>
      </c>
      <c r="C34" s="7">
        <v>80.19</v>
      </c>
      <c r="D34" s="7">
        <v>76.34</v>
      </c>
      <c r="E34" s="7">
        <v>71.58</v>
      </c>
      <c r="F34" s="7">
        <v>76.86</v>
      </c>
      <c r="G34" s="24"/>
      <c r="H34" s="7">
        <v>74.75</v>
      </c>
      <c r="I34" s="7">
        <v>80.19</v>
      </c>
      <c r="J34" s="7">
        <v>76.34</v>
      </c>
      <c r="K34" s="7">
        <v>71.58</v>
      </c>
      <c r="L34" s="7">
        <v>76.86</v>
      </c>
      <c r="N34" s="25">
        <f t="shared" si="29"/>
        <v>9.2222127635424641E-3</v>
      </c>
      <c r="O34" s="25">
        <f t="shared" si="30"/>
        <v>9.8933677793775279E-3</v>
      </c>
      <c r="P34" s="25">
        <f t="shared" si="31"/>
        <v>9.4183775567736692E-3</v>
      </c>
      <c r="Q34" s="25">
        <f t="shared" si="32"/>
        <v>8.8311169179179881E-3</v>
      </c>
      <c r="R34" s="25">
        <f t="shared" si="33"/>
        <v>9.4825320803461378E-3</v>
      </c>
      <c r="S34" s="25">
        <f t="shared" si="34"/>
        <v>9.3695214195915564E-3</v>
      </c>
      <c r="U34" s="278">
        <f t="shared" si="36"/>
        <v>93.213066767080747</v>
      </c>
      <c r="V34" s="278">
        <f t="shared" si="35"/>
        <v>96.886783615579361</v>
      </c>
      <c r="W34" s="278">
        <f t="shared" si="35"/>
        <v>101.83609925521804</v>
      </c>
      <c r="X34" s="278">
        <f t="shared" si="35"/>
        <v>106.14602692268492</v>
      </c>
      <c r="Y34" s="278">
        <f t="shared" si="35"/>
        <v>110.0192210421647</v>
      </c>
    </row>
    <row r="35" spans="1:25" ht="15" customHeight="1">
      <c r="A35" s="1" t="s">
        <v>11</v>
      </c>
      <c r="B35" s="7">
        <v>65.94</v>
      </c>
      <c r="C35" s="7">
        <v>72.38</v>
      </c>
      <c r="D35" s="7">
        <v>68.989999999999995</v>
      </c>
      <c r="E35" s="7">
        <v>65.28</v>
      </c>
      <c r="F35" s="7">
        <v>70.760000000000005</v>
      </c>
      <c r="G35" s="7"/>
      <c r="H35" s="7">
        <v>0</v>
      </c>
      <c r="I35" s="7">
        <v>0</v>
      </c>
      <c r="J35" s="7">
        <v>0</v>
      </c>
      <c r="K35" s="7">
        <v>0</v>
      </c>
      <c r="L35" s="7">
        <v>0</v>
      </c>
      <c r="N35" s="25">
        <f t="shared" si="29"/>
        <v>0</v>
      </c>
      <c r="O35" s="25">
        <f t="shared" si="30"/>
        <v>0</v>
      </c>
      <c r="P35" s="25">
        <f t="shared" si="31"/>
        <v>0</v>
      </c>
      <c r="Q35" s="25">
        <f t="shared" si="32"/>
        <v>0</v>
      </c>
      <c r="R35" s="25">
        <f t="shared" si="33"/>
        <v>0</v>
      </c>
      <c r="S35" s="25">
        <f t="shared" si="34"/>
        <v>0</v>
      </c>
      <c r="U35" s="278">
        <v>0</v>
      </c>
      <c r="V35" s="278">
        <v>0</v>
      </c>
      <c r="W35" s="278">
        <v>0</v>
      </c>
      <c r="X35" s="278">
        <v>0</v>
      </c>
      <c r="Y35" s="278">
        <v>0</v>
      </c>
    </row>
    <row r="36" spans="1:25" ht="15" customHeight="1">
      <c r="A36" s="23" t="s">
        <v>12</v>
      </c>
      <c r="B36" s="24">
        <v>8405.1200000000008</v>
      </c>
      <c r="C36" s="24">
        <v>7237.43</v>
      </c>
      <c r="D36" s="24">
        <v>6852.96</v>
      </c>
      <c r="E36" s="24">
        <v>6231.85</v>
      </c>
      <c r="F36" s="24">
        <v>6486.33</v>
      </c>
      <c r="G36" s="8"/>
      <c r="H36" s="24">
        <v>8405.1200000000008</v>
      </c>
      <c r="I36" s="24">
        <v>7237.43</v>
      </c>
      <c r="J36" s="24">
        <v>6852.96</v>
      </c>
      <c r="K36" s="24">
        <v>6231.85</v>
      </c>
      <c r="L36" s="24">
        <v>6486.33</v>
      </c>
      <c r="N36" s="25">
        <f t="shared" si="29"/>
        <v>1.0369739791719872</v>
      </c>
      <c r="O36" s="25">
        <f t="shared" si="30"/>
        <v>0.89291129526749358</v>
      </c>
      <c r="P36" s="25">
        <f t="shared" si="31"/>
        <v>0.84547766127151791</v>
      </c>
      <c r="Q36" s="25">
        <f t="shared" si="32"/>
        <v>0.7688487840867172</v>
      </c>
      <c r="R36" s="25">
        <f t="shared" si="33"/>
        <v>0.80024502093041328</v>
      </c>
      <c r="S36" s="25">
        <f t="shared" si="34"/>
        <v>0.86889134814562574</v>
      </c>
      <c r="U36" s="278">
        <f t="shared" si="36"/>
        <v>8644.2010878681231</v>
      </c>
      <c r="V36" s="278">
        <f t="shared" si="35"/>
        <v>8984.886662109162</v>
      </c>
      <c r="W36" s="278">
        <f t="shared" si="35"/>
        <v>9443.8660854905702</v>
      </c>
      <c r="X36" s="278">
        <f t="shared" si="35"/>
        <v>9843.5512661621233</v>
      </c>
      <c r="Y36" s="278">
        <f t="shared" si="35"/>
        <v>10202.735552039041</v>
      </c>
    </row>
    <row r="37" spans="1:25" ht="15" customHeight="1">
      <c r="A37" s="1" t="s">
        <v>13</v>
      </c>
      <c r="B37" s="7">
        <v>721.15</v>
      </c>
      <c r="C37" s="7">
        <v>552.19000000000005</v>
      </c>
      <c r="D37" s="7">
        <v>508.52</v>
      </c>
      <c r="E37" s="7">
        <v>480.4</v>
      </c>
      <c r="F37" s="7">
        <v>468.57</v>
      </c>
      <c r="G37" s="30"/>
      <c r="H37" s="7">
        <f>B37*25%</f>
        <v>180.28749999999999</v>
      </c>
      <c r="I37" s="7">
        <f t="shared" ref="I37:L37" si="37">C37*25%</f>
        <v>138.04750000000001</v>
      </c>
      <c r="J37" s="7">
        <f t="shared" si="37"/>
        <v>127.13</v>
      </c>
      <c r="K37" s="7">
        <f t="shared" si="37"/>
        <v>120.1</v>
      </c>
      <c r="L37" s="7">
        <f t="shared" si="37"/>
        <v>117.1425</v>
      </c>
      <c r="N37" s="25">
        <f t="shared" si="29"/>
        <v>2.2242805131868389E-2</v>
      </c>
      <c r="O37" s="25">
        <f t="shared" si="30"/>
        <v>1.7031483832443191E-2</v>
      </c>
      <c r="P37" s="25">
        <f t="shared" si="31"/>
        <v>1.5684547272630814E-2</v>
      </c>
      <c r="Q37" s="25">
        <f t="shared" si="32"/>
        <v>1.4817227463564547E-2</v>
      </c>
      <c r="R37" s="25">
        <f t="shared" si="33"/>
        <v>1.4452348610746129E-2</v>
      </c>
      <c r="S37" s="25">
        <f t="shared" si="34"/>
        <v>1.6845682462250613E-2</v>
      </c>
      <c r="U37" s="278">
        <f t="shared" si="36"/>
        <v>167.58996044423992</v>
      </c>
      <c r="V37" s="278">
        <f t="shared" si="35"/>
        <v>174.19502218801526</v>
      </c>
      <c r="W37" s="278">
        <f t="shared" si="35"/>
        <v>183.09351293658952</v>
      </c>
      <c r="X37" s="278">
        <f t="shared" si="35"/>
        <v>190.84243304360825</v>
      </c>
      <c r="Y37" s="278">
        <f t="shared" si="35"/>
        <v>197.80613965459725</v>
      </c>
    </row>
    <row r="38" spans="1:25" ht="15" customHeight="1">
      <c r="A38" s="6" t="s">
        <v>14</v>
      </c>
      <c r="B38" s="8">
        <f>SUM(B31,B32,B33,B34,B36,B37)</f>
        <v>12473.49</v>
      </c>
      <c r="C38" s="8">
        <f>SUM(C31,C32,C33,C34,C36,C37)</f>
        <v>10881.460000000001</v>
      </c>
      <c r="D38" s="8">
        <f>SUM(D31,D32,D33,D34,D36,D37)</f>
        <v>10246.09</v>
      </c>
      <c r="E38" s="8">
        <f>SUM(E31,E32,E33,E34,E36,E37)</f>
        <v>9476.41</v>
      </c>
      <c r="F38" s="8">
        <f>SUM(F31,F32,F33,F34,F36,F37)</f>
        <v>9672.02</v>
      </c>
      <c r="G38" s="8"/>
      <c r="H38" s="8">
        <f>SUM(H31:H37)</f>
        <v>11932.627500000001</v>
      </c>
      <c r="I38" s="8">
        <f t="shared" ref="I38:L38" si="38">SUM(I31:I37)</f>
        <v>10467.317500000001</v>
      </c>
      <c r="J38" s="8">
        <f t="shared" si="38"/>
        <v>9864.6999999999989</v>
      </c>
      <c r="K38" s="8">
        <f t="shared" si="38"/>
        <v>9116.11</v>
      </c>
      <c r="L38" s="8">
        <f t="shared" si="38"/>
        <v>9320.5925000000007</v>
      </c>
      <c r="N38" s="25"/>
      <c r="O38" s="25"/>
      <c r="P38" s="25"/>
      <c r="Q38" s="25"/>
      <c r="R38" s="25"/>
      <c r="S38" s="25"/>
      <c r="U38" s="279">
        <f>SUM(U31:U37)</f>
        <v>12446.08682634168</v>
      </c>
      <c r="V38" s="279">
        <f t="shared" ref="V38:Y38" si="39">SUM(V31:V37)</f>
        <v>12936.612462474446</v>
      </c>
      <c r="W38" s="279">
        <f t="shared" si="39"/>
        <v>13597.459855639159</v>
      </c>
      <c r="X38" s="279">
        <f t="shared" si="39"/>
        <v>14172.934258799654</v>
      </c>
      <c r="Y38" s="279">
        <f t="shared" si="39"/>
        <v>14690.094695402149</v>
      </c>
    </row>
    <row r="39" spans="1:25" s="106" customFormat="1" ht="15" customHeight="1">
      <c r="A39" s="103" t="s">
        <v>15</v>
      </c>
      <c r="B39" s="104"/>
      <c r="C39" s="104"/>
      <c r="D39" s="104"/>
      <c r="E39" s="104"/>
      <c r="F39" s="104"/>
      <c r="G39" s="111"/>
      <c r="N39" s="107"/>
      <c r="O39" s="107"/>
      <c r="P39" s="107"/>
      <c r="Q39" s="107"/>
      <c r="R39" s="107"/>
      <c r="S39" s="107"/>
      <c r="U39" s="280"/>
      <c r="V39" s="280"/>
      <c r="W39" s="280"/>
      <c r="X39" s="280"/>
      <c r="Y39" s="280"/>
    </row>
    <row r="40" spans="1:25" ht="15" customHeight="1">
      <c r="A40" s="6" t="s">
        <v>15</v>
      </c>
      <c r="B40" s="8">
        <f>B29+B38</f>
        <v>15755.23</v>
      </c>
      <c r="C40" s="8">
        <f t="shared" ref="C40:F40" si="40">C29+C38</f>
        <v>13842.79</v>
      </c>
      <c r="D40" s="8">
        <f t="shared" si="40"/>
        <v>13565.05</v>
      </c>
      <c r="E40" s="8">
        <f t="shared" si="40"/>
        <v>12727.28</v>
      </c>
      <c r="F40" s="8">
        <f t="shared" si="40"/>
        <v>12911.6</v>
      </c>
      <c r="G40" s="7"/>
      <c r="H40" s="8">
        <f>H29+H38</f>
        <v>15214.3675</v>
      </c>
      <c r="I40" s="8">
        <f t="shared" ref="I40:L40" si="41">I29+I38</f>
        <v>13428.647500000001</v>
      </c>
      <c r="J40" s="8">
        <f t="shared" si="41"/>
        <v>13183.66</v>
      </c>
      <c r="K40" s="8">
        <f t="shared" si="41"/>
        <v>12366.980000000001</v>
      </c>
      <c r="L40" s="8">
        <f t="shared" si="41"/>
        <v>12560.172500000001</v>
      </c>
      <c r="N40" s="25"/>
      <c r="O40" s="25"/>
      <c r="P40" s="25"/>
      <c r="Q40" s="25"/>
      <c r="R40" s="25"/>
      <c r="S40" s="25"/>
      <c r="U40" s="278"/>
      <c r="V40" s="278"/>
      <c r="W40" s="278"/>
      <c r="X40" s="278"/>
      <c r="Y40" s="278"/>
    </row>
    <row r="41" spans="1:25" s="106" customFormat="1" ht="15" customHeight="1">
      <c r="A41" s="103" t="s">
        <v>16</v>
      </c>
      <c r="B41" s="104"/>
      <c r="C41" s="104"/>
      <c r="D41" s="104"/>
      <c r="E41" s="104"/>
      <c r="F41" s="104"/>
      <c r="G41" s="105"/>
      <c r="N41" s="107"/>
      <c r="O41" s="107"/>
      <c r="P41" s="107"/>
      <c r="Q41" s="107"/>
      <c r="R41" s="107"/>
      <c r="S41" s="107"/>
      <c r="U41" s="280"/>
      <c r="V41" s="280"/>
      <c r="W41" s="280"/>
      <c r="X41" s="280"/>
      <c r="Y41" s="280"/>
    </row>
    <row r="42" spans="1:25" ht="15" customHeight="1">
      <c r="A42" s="5" t="s">
        <v>17</v>
      </c>
      <c r="B42" s="7">
        <v>680.4</v>
      </c>
      <c r="C42" s="7">
        <v>598.41</v>
      </c>
      <c r="D42" s="7">
        <v>571.97</v>
      </c>
      <c r="E42" s="7">
        <v>527.79999999999995</v>
      </c>
      <c r="F42" s="7">
        <v>621.85</v>
      </c>
      <c r="G42" s="7"/>
      <c r="H42" s="7">
        <v>680.4</v>
      </c>
      <c r="I42" s="7">
        <v>598.41</v>
      </c>
      <c r="J42" s="7">
        <v>571.97</v>
      </c>
      <c r="K42" s="7">
        <v>527.79999999999995</v>
      </c>
      <c r="L42" s="7">
        <v>621.85</v>
      </c>
      <c r="N42" s="25">
        <f t="shared" ref="N42:N45" si="42">H42/$B$4</f>
        <v>8.3943726612900241E-2</v>
      </c>
      <c r="O42" s="25">
        <f t="shared" ref="O42:O45" si="43">I42/$B$4</f>
        <v>7.3828285482694933E-2</v>
      </c>
      <c r="P42" s="25">
        <f t="shared" ref="P42:P45" si="44">J42/$B$4</f>
        <v>7.0566274707202462E-2</v>
      </c>
      <c r="Q42" s="25">
        <f t="shared" ref="Q42:Q45" si="45">K42/$B$4</f>
        <v>6.5116841426056352E-2</v>
      </c>
      <c r="R42" s="25">
        <f t="shared" ref="R42:R45" si="46">L42/$B$4</f>
        <v>7.6720174006807779E-2</v>
      </c>
      <c r="S42" s="25">
        <f t="shared" ref="S42:S45" si="47">AVERAGE(N42:R42)</f>
        <v>7.4035060447132345E-2</v>
      </c>
      <c r="U42" s="278">
        <f>U$3*$S42</f>
        <v>736.54082460747941</v>
      </c>
      <c r="V42" s="278">
        <f t="shared" ref="V42:Y45" si="48">V$3*$S42</f>
        <v>765.56939893524907</v>
      </c>
      <c r="W42" s="278">
        <f t="shared" si="48"/>
        <v>804.677360392747</v>
      </c>
      <c r="X42" s="278">
        <f t="shared" si="48"/>
        <v>838.73307584438942</v>
      </c>
      <c r="Y42" s="278">
        <f t="shared" si="48"/>
        <v>869.33785787301758</v>
      </c>
    </row>
    <row r="43" spans="1:25" ht="15" customHeight="1">
      <c r="A43" s="5" t="s">
        <v>18</v>
      </c>
      <c r="B43" s="7">
        <v>661.03</v>
      </c>
      <c r="C43" s="7">
        <v>346.79</v>
      </c>
      <c r="D43" s="7">
        <v>341.86</v>
      </c>
      <c r="E43" s="7">
        <v>551.42999999999995</v>
      </c>
      <c r="F43" s="7">
        <v>663.12</v>
      </c>
      <c r="G43" s="7"/>
      <c r="H43" s="7">
        <v>661.03</v>
      </c>
      <c r="I43" s="7">
        <v>346.79</v>
      </c>
      <c r="J43" s="7">
        <v>341.86</v>
      </c>
      <c r="K43" s="7">
        <v>551.42999999999995</v>
      </c>
      <c r="L43" s="7">
        <v>663.12</v>
      </c>
      <c r="N43" s="25">
        <f t="shared" si="42"/>
        <v>8.1553970609825749E-2</v>
      </c>
      <c r="O43" s="25">
        <f t="shared" si="43"/>
        <v>4.2784898518647377E-2</v>
      </c>
      <c r="P43" s="25">
        <f t="shared" si="44"/>
        <v>4.2176664285546853E-2</v>
      </c>
      <c r="Q43" s="25">
        <f t="shared" si="45"/>
        <v>6.803217102608991E-2</v>
      </c>
      <c r="R43" s="25">
        <f t="shared" si="46"/>
        <v>8.1811822444953566E-2</v>
      </c>
      <c r="S43" s="25">
        <f t="shared" si="47"/>
        <v>6.3271905377012688E-2</v>
      </c>
      <c r="U43" s="278">
        <f t="shared" ref="U43:U45" si="49">U$3*$S43</f>
        <v>629.4631365115124</v>
      </c>
      <c r="V43" s="278">
        <f t="shared" si="48"/>
        <v>654.27156102016511</v>
      </c>
      <c r="W43" s="278">
        <f t="shared" si="48"/>
        <v>687.69403980092636</v>
      </c>
      <c r="X43" s="278">
        <f t="shared" si="48"/>
        <v>716.79876386799845</v>
      </c>
      <c r="Y43" s="278">
        <f t="shared" si="48"/>
        <v>742.95424832231652</v>
      </c>
    </row>
    <row r="44" spans="1:25" ht="15" customHeight="1">
      <c r="A44" s="5" t="s">
        <v>19</v>
      </c>
      <c r="B44" s="7">
        <v>27.49</v>
      </c>
      <c r="C44" s="7">
        <v>220.61</v>
      </c>
      <c r="D44" s="7">
        <v>374.26</v>
      </c>
      <c r="E44" s="7">
        <v>254.73</v>
      </c>
      <c r="F44" s="7">
        <v>145.16</v>
      </c>
      <c r="G44" s="8"/>
      <c r="H44" s="7">
        <v>27.49</v>
      </c>
      <c r="I44" s="7">
        <v>220.61</v>
      </c>
      <c r="J44" s="7">
        <v>374.26</v>
      </c>
      <c r="K44" s="7">
        <v>254.73</v>
      </c>
      <c r="L44" s="7">
        <v>145.16</v>
      </c>
      <c r="N44" s="25">
        <f t="shared" si="42"/>
        <v>3.3915535634753491E-3</v>
      </c>
      <c r="O44" s="25">
        <f t="shared" si="43"/>
        <v>2.7217556625620108E-2</v>
      </c>
      <c r="P44" s="25">
        <f t="shared" si="44"/>
        <v>4.617398460044686E-2</v>
      </c>
      <c r="Q44" s="25">
        <f t="shared" si="45"/>
        <v>3.1427080364644443E-2</v>
      </c>
      <c r="R44" s="25">
        <f t="shared" si="46"/>
        <v>1.7908982003422395E-2</v>
      </c>
      <c r="S44" s="25">
        <f t="shared" si="47"/>
        <v>2.5223831431521831E-2</v>
      </c>
      <c r="U44" s="278">
        <f t="shared" si="49"/>
        <v>250.94031787277021</v>
      </c>
      <c r="V44" s="278">
        <f t="shared" si="48"/>
        <v>260.83038699838306</v>
      </c>
      <c r="W44" s="278">
        <f t="shared" si="48"/>
        <v>274.15451507333472</v>
      </c>
      <c r="X44" s="278">
        <f t="shared" si="48"/>
        <v>285.75733704233301</v>
      </c>
      <c r="Y44" s="278">
        <f t="shared" si="48"/>
        <v>296.18442196974843</v>
      </c>
    </row>
    <row r="45" spans="1:25" ht="15" customHeight="1">
      <c r="A45" s="1" t="s">
        <v>20</v>
      </c>
      <c r="B45" s="7">
        <v>952.89</v>
      </c>
      <c r="C45" s="7">
        <v>712.42</v>
      </c>
      <c r="D45" s="7">
        <v>796.12</v>
      </c>
      <c r="E45" s="7">
        <v>883.73</v>
      </c>
      <c r="F45" s="7">
        <v>640</v>
      </c>
      <c r="G45" s="30"/>
      <c r="H45" s="7">
        <v>952.89</v>
      </c>
      <c r="I45" s="7">
        <v>712.42</v>
      </c>
      <c r="J45" s="7">
        <v>796.12</v>
      </c>
      <c r="K45" s="7">
        <v>883.73</v>
      </c>
      <c r="L45" s="7">
        <v>640</v>
      </c>
      <c r="N45" s="25">
        <f t="shared" si="42"/>
        <v>0.11756193070571209</v>
      </c>
      <c r="O45" s="25">
        <f t="shared" si="43"/>
        <v>8.7894164775958822E-2</v>
      </c>
      <c r="P45" s="25">
        <f t="shared" si="44"/>
        <v>9.8220575589450521E-2</v>
      </c>
      <c r="Q45" s="25">
        <f t="shared" si="45"/>
        <v>0.10902937907057368</v>
      </c>
      <c r="R45" s="25">
        <f t="shared" si="46"/>
        <v>7.8959413627654546E-2</v>
      </c>
      <c r="S45" s="25">
        <f t="shared" si="47"/>
        <v>9.833309275386995E-2</v>
      </c>
      <c r="U45" s="278">
        <f t="shared" si="49"/>
        <v>978.27079205072062</v>
      </c>
      <c r="V45" s="278">
        <f t="shared" si="48"/>
        <v>1016.8264368309869</v>
      </c>
      <c r="W45" s="278">
        <f t="shared" si="48"/>
        <v>1068.7694862212284</v>
      </c>
      <c r="X45" s="278">
        <f t="shared" si="48"/>
        <v>1114.0021612009039</v>
      </c>
      <c r="Y45" s="278">
        <f t="shared" si="48"/>
        <v>1154.6513192046593</v>
      </c>
    </row>
    <row r="46" spans="1:25" ht="15" customHeight="1">
      <c r="A46" s="6" t="s">
        <v>21</v>
      </c>
      <c r="B46" s="8">
        <f>SUM(B42:B45)</f>
        <v>2321.81</v>
      </c>
      <c r="C46" s="8">
        <f t="shared" ref="C46:F46" si="50">SUM(C42:C45)</f>
        <v>1878.23</v>
      </c>
      <c r="D46" s="8">
        <f t="shared" si="50"/>
        <v>2084.21</v>
      </c>
      <c r="E46" s="8">
        <f t="shared" si="50"/>
        <v>2217.69</v>
      </c>
      <c r="F46" s="8">
        <f t="shared" si="50"/>
        <v>2070.13</v>
      </c>
      <c r="G46" s="7"/>
      <c r="H46" s="8">
        <f>SUM(H42:H45)</f>
        <v>2321.81</v>
      </c>
      <c r="I46" s="8">
        <f t="shared" ref="I46:L46" si="51">SUM(I42:I45)</f>
        <v>1878.23</v>
      </c>
      <c r="J46" s="8">
        <f t="shared" si="51"/>
        <v>2084.21</v>
      </c>
      <c r="K46" s="8">
        <f t="shared" si="51"/>
        <v>2217.69</v>
      </c>
      <c r="L46" s="8">
        <f t="shared" si="51"/>
        <v>2070.13</v>
      </c>
      <c r="N46" s="25"/>
      <c r="O46" s="25"/>
      <c r="P46" s="25"/>
      <c r="Q46" s="25"/>
      <c r="R46" s="25"/>
      <c r="S46" s="25"/>
      <c r="U46" s="279">
        <f>SUM(U42:U45)</f>
        <v>2595.2150710424826</v>
      </c>
      <c r="V46" s="279">
        <f t="shared" ref="V46:Y46" si="52">SUM(V42:V45)</f>
        <v>2697.4977837847846</v>
      </c>
      <c r="W46" s="279">
        <f t="shared" si="52"/>
        <v>2835.2954014882362</v>
      </c>
      <c r="X46" s="279">
        <f t="shared" si="52"/>
        <v>2955.2913379556248</v>
      </c>
      <c r="Y46" s="279">
        <f t="shared" si="52"/>
        <v>3063.1278473697421</v>
      </c>
    </row>
    <row r="47" spans="1:25" s="106" customFormat="1" ht="15" customHeight="1">
      <c r="A47" s="103" t="s">
        <v>22</v>
      </c>
      <c r="B47" s="104"/>
      <c r="C47" s="104"/>
      <c r="D47" s="104"/>
      <c r="E47" s="104"/>
      <c r="F47" s="104"/>
      <c r="G47" s="105"/>
      <c r="N47" s="107"/>
      <c r="O47" s="107"/>
      <c r="P47" s="107"/>
      <c r="Q47" s="107"/>
      <c r="R47" s="107"/>
      <c r="S47" s="107"/>
      <c r="U47" s="280"/>
      <c r="V47" s="280"/>
      <c r="W47" s="280"/>
      <c r="X47" s="280"/>
      <c r="Y47" s="280"/>
    </row>
    <row r="48" spans="1:25" ht="15" customHeight="1">
      <c r="A48" s="5" t="s">
        <v>23</v>
      </c>
      <c r="B48" s="7">
        <v>3854.34</v>
      </c>
      <c r="C48" s="7">
        <v>2753.69</v>
      </c>
      <c r="D48" s="7">
        <v>2670.88</v>
      </c>
      <c r="E48" s="7">
        <v>2683.38</v>
      </c>
      <c r="F48" s="7">
        <v>3952.76</v>
      </c>
      <c r="G48" s="7"/>
      <c r="H48" s="7">
        <v>3854.34</v>
      </c>
      <c r="I48" s="7">
        <v>2753.69</v>
      </c>
      <c r="J48" s="7">
        <v>2670.88</v>
      </c>
      <c r="K48" s="7">
        <v>2683.38</v>
      </c>
      <c r="L48" s="7">
        <v>3952.76</v>
      </c>
      <c r="N48" s="25">
        <f t="shared" ref="N48:N52" si="53">H48/$B$4</f>
        <v>0.4755256661275219</v>
      </c>
      <c r="O48" s="25">
        <f t="shared" ref="O48:O52" si="54">I48/$B$4</f>
        <v>0.33973398080052508</v>
      </c>
      <c r="P48" s="25">
        <f t="shared" ref="P48:P52" si="55">J48/$B$4</f>
        <v>0.32951737292160932</v>
      </c>
      <c r="Q48" s="25">
        <f t="shared" ref="Q48:Q52" si="56">K48/$B$4</f>
        <v>0.33105954896902445</v>
      </c>
      <c r="R48" s="25">
        <f t="shared" ref="R48:R52" si="57">L48/$B$4</f>
        <v>0.4876681434544497</v>
      </c>
      <c r="S48" s="25">
        <f t="shared" ref="S48:S52" si="58">AVERAGE(N48:R48)</f>
        <v>0.39270094245462606</v>
      </c>
      <c r="U48" s="278">
        <f>U$3*$S48</f>
        <v>3906.8013753592872</v>
      </c>
      <c r="V48" s="278">
        <f t="shared" ref="V48:Y51" si="59">V$3*$S48</f>
        <v>4060.7763762275531</v>
      </c>
      <c r="W48" s="278">
        <f t="shared" si="59"/>
        <v>4268.2150306851308</v>
      </c>
      <c r="X48" s="278">
        <f t="shared" si="59"/>
        <v>4448.8552769827156</v>
      </c>
      <c r="Y48" s="278">
        <f t="shared" si="59"/>
        <v>4611.1908876200978</v>
      </c>
    </row>
    <row r="49" spans="1:25" ht="15" customHeight="1">
      <c r="A49" s="1" t="s">
        <v>24</v>
      </c>
      <c r="B49" s="7">
        <v>362.59</v>
      </c>
      <c r="C49" s="7">
        <v>332.73</v>
      </c>
      <c r="D49" s="7">
        <v>264.24</v>
      </c>
      <c r="E49" s="7">
        <v>190.51</v>
      </c>
      <c r="F49" s="7">
        <v>173.34</v>
      </c>
      <c r="G49" s="7"/>
      <c r="H49" s="7">
        <v>0</v>
      </c>
      <c r="I49" s="7">
        <v>0</v>
      </c>
      <c r="J49" s="7">
        <v>0</v>
      </c>
      <c r="K49" s="7">
        <v>0</v>
      </c>
      <c r="L49" s="7">
        <v>0</v>
      </c>
      <c r="N49" s="25">
        <f t="shared" si="53"/>
        <v>0</v>
      </c>
      <c r="O49" s="25">
        <f t="shared" si="54"/>
        <v>0</v>
      </c>
      <c r="P49" s="25">
        <f t="shared" si="55"/>
        <v>0</v>
      </c>
      <c r="Q49" s="25">
        <f t="shared" si="56"/>
        <v>0</v>
      </c>
      <c r="R49" s="25">
        <f t="shared" si="57"/>
        <v>0</v>
      </c>
      <c r="S49" s="25">
        <f t="shared" si="58"/>
        <v>0</v>
      </c>
      <c r="U49" s="278">
        <f t="shared" ref="U49:U51" si="60">U$3*$S49</f>
        <v>0</v>
      </c>
      <c r="V49" s="278">
        <f t="shared" si="59"/>
        <v>0</v>
      </c>
      <c r="W49" s="278">
        <f t="shared" si="59"/>
        <v>0</v>
      </c>
      <c r="X49" s="278">
        <f t="shared" si="59"/>
        <v>0</v>
      </c>
      <c r="Y49" s="278">
        <f t="shared" si="59"/>
        <v>0</v>
      </c>
    </row>
    <row r="50" spans="1:25" ht="15" customHeight="1">
      <c r="A50" s="1" t="s">
        <v>25</v>
      </c>
      <c r="B50" s="7">
        <v>120.43</v>
      </c>
      <c r="C50" s="7">
        <v>80.989999999999995</v>
      </c>
      <c r="D50" s="7">
        <v>78.36</v>
      </c>
      <c r="E50" s="7">
        <v>109.3</v>
      </c>
      <c r="F50" s="7">
        <v>143.6</v>
      </c>
      <c r="G50" s="7"/>
      <c r="H50" s="7">
        <v>120.43</v>
      </c>
      <c r="I50" s="7">
        <v>80.989999999999995</v>
      </c>
      <c r="J50" s="7">
        <v>78.36</v>
      </c>
      <c r="K50" s="7">
        <v>109.3</v>
      </c>
      <c r="L50" s="7">
        <v>143.6</v>
      </c>
      <c r="N50" s="25">
        <f t="shared" si="53"/>
        <v>1.4857940911216309E-2</v>
      </c>
      <c r="O50" s="25">
        <f t="shared" si="54"/>
        <v>9.992067046412095E-3</v>
      </c>
      <c r="P50" s="25">
        <f t="shared" si="55"/>
        <v>9.6675932060359526E-3</v>
      </c>
      <c r="Q50" s="25">
        <f t="shared" si="56"/>
        <v>1.3484787358597877E-2</v>
      </c>
      <c r="R50" s="25">
        <f t="shared" si="57"/>
        <v>1.7716518432704987E-2</v>
      </c>
      <c r="S50" s="25">
        <f t="shared" si="58"/>
        <v>1.3143781390993444E-2</v>
      </c>
      <c r="U50" s="278">
        <f t="shared" si="60"/>
        <v>130.76144634332817</v>
      </c>
      <c r="V50" s="278">
        <f t="shared" si="59"/>
        <v>135.91502132188671</v>
      </c>
      <c r="W50" s="278">
        <f t="shared" si="59"/>
        <v>142.85803579287253</v>
      </c>
      <c r="X50" s="278">
        <f t="shared" si="59"/>
        <v>148.90410202563945</v>
      </c>
      <c r="Y50" s="278">
        <f t="shared" si="59"/>
        <v>154.3375083344051</v>
      </c>
    </row>
    <row r="51" spans="1:25" ht="15" customHeight="1">
      <c r="A51" s="1" t="s">
        <v>26</v>
      </c>
      <c r="B51" s="7">
        <v>91.8</v>
      </c>
      <c r="C51" s="7">
        <v>47.01</v>
      </c>
      <c r="D51" s="7">
        <v>26.09</v>
      </c>
      <c r="E51" s="7">
        <v>55.53</v>
      </c>
      <c r="F51" s="7">
        <v>122.91</v>
      </c>
      <c r="G51" s="30"/>
      <c r="H51" s="7">
        <v>91.8</v>
      </c>
      <c r="I51" s="7">
        <v>47.01</v>
      </c>
      <c r="J51" s="7">
        <v>26.09</v>
      </c>
      <c r="K51" s="7">
        <v>55.53</v>
      </c>
      <c r="L51" s="7">
        <v>122.91</v>
      </c>
      <c r="N51" s="25">
        <f t="shared" si="53"/>
        <v>1.1325740892216699E-2</v>
      </c>
      <c r="O51" s="25">
        <f t="shared" si="54"/>
        <v>5.7998156791188122E-3</v>
      </c>
      <c r="P51" s="25">
        <f t="shared" si="55"/>
        <v>3.2188298461648546E-3</v>
      </c>
      <c r="Q51" s="25">
        <f t="shared" si="56"/>
        <v>6.8509628730369643E-3</v>
      </c>
      <c r="R51" s="25">
        <f t="shared" si="57"/>
        <v>1.5163908639023468E-2</v>
      </c>
      <c r="S51" s="25">
        <f t="shared" si="58"/>
        <v>8.4718515859121598E-3</v>
      </c>
      <c r="U51" s="278">
        <f t="shared" si="60"/>
        <v>84.282561739727981</v>
      </c>
      <c r="V51" s="278">
        <f t="shared" si="59"/>
        <v>87.604309192491897</v>
      </c>
      <c r="W51" s="278">
        <f t="shared" si="59"/>
        <v>92.079443585501338</v>
      </c>
      <c r="X51" s="278">
        <f t="shared" si="59"/>
        <v>95.976448129239031</v>
      </c>
      <c r="Y51" s="278">
        <f t="shared" si="59"/>
        <v>99.478561446899917</v>
      </c>
    </row>
    <row r="52" spans="1:25" ht="15" customHeight="1">
      <c r="A52" s="5" t="s">
        <v>27</v>
      </c>
      <c r="B52" s="7">
        <f>SUM(B48:B51)</f>
        <v>4429.1600000000008</v>
      </c>
      <c r="C52" s="7">
        <f t="shared" ref="C52:F52" si="61">SUM(C48:C51)</f>
        <v>3214.42</v>
      </c>
      <c r="D52" s="7">
        <f t="shared" si="61"/>
        <v>3039.57</v>
      </c>
      <c r="E52" s="7">
        <f t="shared" si="61"/>
        <v>3038.7200000000007</v>
      </c>
      <c r="F52" s="7">
        <f t="shared" si="61"/>
        <v>4392.6100000000006</v>
      </c>
      <c r="G52" s="8"/>
      <c r="H52" s="7">
        <f>SUM(H48:H51)</f>
        <v>4066.57</v>
      </c>
      <c r="I52" s="7">
        <f>SUM(I48:I51)</f>
        <v>2881.69</v>
      </c>
      <c r="J52" s="7">
        <f>SUM(J48:J51)</f>
        <v>2775.3300000000004</v>
      </c>
      <c r="K52" s="7">
        <f>SUM(K48:K51)</f>
        <v>2848.2100000000005</v>
      </c>
      <c r="L52" s="7">
        <f>SUM(L48:L51)</f>
        <v>4219.2700000000004</v>
      </c>
      <c r="N52" s="25">
        <f t="shared" si="53"/>
        <v>0.5017093479309549</v>
      </c>
      <c r="O52" s="25">
        <f t="shared" si="54"/>
        <v>0.35552586352605597</v>
      </c>
      <c r="P52" s="25">
        <f t="shared" si="55"/>
        <v>0.34240379597381021</v>
      </c>
      <c r="Q52" s="25">
        <f t="shared" si="56"/>
        <v>0.35139529920065937</v>
      </c>
      <c r="R52" s="25">
        <f t="shared" si="57"/>
        <v>0.5205485705261782</v>
      </c>
      <c r="S52" s="25">
        <f t="shared" si="58"/>
        <v>0.41431657543153178</v>
      </c>
      <c r="U52" s="279">
        <f>SUM(U48:U51)</f>
        <v>4121.8453834423435</v>
      </c>
      <c r="V52" s="279">
        <f t="shared" ref="V52:Y52" si="62">SUM(V48:V51)</f>
        <v>4284.295706741932</v>
      </c>
      <c r="W52" s="279">
        <f t="shared" si="62"/>
        <v>4503.1525100635045</v>
      </c>
      <c r="X52" s="279">
        <f t="shared" si="62"/>
        <v>4693.7358271375933</v>
      </c>
      <c r="Y52" s="279">
        <f t="shared" si="62"/>
        <v>4865.0069574014033</v>
      </c>
    </row>
    <row r="53" spans="1:25" s="106" customFormat="1" ht="15" customHeight="1">
      <c r="A53" s="103" t="s">
        <v>28</v>
      </c>
      <c r="B53" s="104"/>
      <c r="C53" s="104"/>
      <c r="D53" s="104"/>
      <c r="E53" s="104"/>
      <c r="F53" s="104"/>
      <c r="G53" s="108"/>
      <c r="H53" s="109"/>
      <c r="I53" s="109"/>
      <c r="N53" s="107"/>
      <c r="O53" s="107"/>
      <c r="P53" s="107"/>
      <c r="Q53" s="107"/>
      <c r="R53" s="107"/>
      <c r="S53" s="107"/>
      <c r="U53" s="280"/>
      <c r="V53" s="280"/>
      <c r="W53" s="280"/>
      <c r="X53" s="280"/>
      <c r="Y53" s="280"/>
    </row>
    <row r="54" spans="1:25" ht="15" customHeight="1">
      <c r="A54" s="6" t="s">
        <v>28</v>
      </c>
      <c r="B54" s="8">
        <f>SUM(B52,B46)</f>
        <v>6750.9700000000012</v>
      </c>
      <c r="C54" s="8">
        <f t="shared" ref="C54:F54" si="63">SUM(C52,C46)</f>
        <v>5092.6499999999996</v>
      </c>
      <c r="D54" s="8">
        <f t="shared" si="63"/>
        <v>5123.7800000000007</v>
      </c>
      <c r="E54" s="8">
        <f t="shared" si="63"/>
        <v>5256.4100000000008</v>
      </c>
      <c r="F54" s="8">
        <f t="shared" si="63"/>
        <v>6462.7400000000007</v>
      </c>
      <c r="G54" s="7"/>
      <c r="H54" s="8">
        <f>SUM(H46,H52)</f>
        <v>6388.38</v>
      </c>
      <c r="I54" s="8">
        <f t="shared" ref="I54:L54" si="64">SUM(I46,I52)</f>
        <v>4759.92</v>
      </c>
      <c r="J54" s="8">
        <f t="shared" si="64"/>
        <v>4859.5400000000009</v>
      </c>
      <c r="K54" s="8">
        <f t="shared" si="64"/>
        <v>5065.9000000000005</v>
      </c>
      <c r="L54" s="8">
        <f t="shared" si="64"/>
        <v>6289.4000000000005</v>
      </c>
      <c r="N54" s="25"/>
      <c r="O54" s="25"/>
      <c r="P54" s="25"/>
      <c r="Q54" s="25"/>
      <c r="R54" s="25"/>
      <c r="S54" s="25"/>
      <c r="U54" s="279">
        <f>SUM(U46,U52)</f>
        <v>6717.0604544848266</v>
      </c>
      <c r="V54" s="279">
        <f t="shared" ref="V54:Y54" si="65">SUM(V46,V52)</f>
        <v>6981.7934905267166</v>
      </c>
      <c r="W54" s="279">
        <f t="shared" si="65"/>
        <v>7338.4479115517406</v>
      </c>
      <c r="X54" s="279">
        <f t="shared" si="65"/>
        <v>7649.0271650932182</v>
      </c>
      <c r="Y54" s="279">
        <f t="shared" si="65"/>
        <v>7928.1348047711454</v>
      </c>
    </row>
    <row r="55" spans="1:25" ht="15" customHeight="1">
      <c r="A55" s="6" t="s">
        <v>124</v>
      </c>
      <c r="B55" s="8">
        <f>B40-B54</f>
        <v>9004.2599999999984</v>
      </c>
      <c r="C55" s="8">
        <f t="shared" ref="C55:F55" si="66">C40-C54</f>
        <v>8750.1400000000012</v>
      </c>
      <c r="D55" s="8">
        <f t="shared" si="66"/>
        <v>8441.2699999999986</v>
      </c>
      <c r="E55" s="8">
        <f t="shared" si="66"/>
        <v>7470.87</v>
      </c>
      <c r="F55" s="8">
        <f t="shared" si="66"/>
        <v>6448.86</v>
      </c>
      <c r="G55" s="7"/>
      <c r="H55" s="8">
        <f>H40-H54</f>
        <v>8825.9874999999993</v>
      </c>
      <c r="I55" s="8">
        <f t="shared" ref="I55:L55" si="67">I40-I54</f>
        <v>8668.7275000000009</v>
      </c>
      <c r="J55" s="8">
        <f t="shared" si="67"/>
        <v>8324.119999999999</v>
      </c>
      <c r="K55" s="8">
        <f t="shared" si="67"/>
        <v>7301.0800000000008</v>
      </c>
      <c r="L55" s="8">
        <f t="shared" si="67"/>
        <v>6270.7725</v>
      </c>
      <c r="N55" s="25"/>
      <c r="O55" s="25"/>
      <c r="P55" s="25"/>
      <c r="Q55" s="25"/>
      <c r="R55" s="25"/>
      <c r="S55" s="25"/>
      <c r="U55" s="279"/>
      <c r="V55" s="279"/>
      <c r="W55" s="279"/>
      <c r="X55" s="279"/>
      <c r="Y55" s="279"/>
    </row>
    <row r="56" spans="1:25" s="106" customFormat="1" ht="15" customHeight="1">
      <c r="A56" s="103" t="s">
        <v>29</v>
      </c>
      <c r="B56" s="104"/>
      <c r="C56" s="104"/>
      <c r="D56" s="104"/>
      <c r="E56" s="104"/>
      <c r="F56" s="104"/>
      <c r="G56" s="105"/>
      <c r="H56" s="104"/>
      <c r="I56" s="104"/>
      <c r="J56" s="104"/>
      <c r="K56" s="104"/>
      <c r="L56" s="104"/>
      <c r="N56" s="107"/>
      <c r="O56" s="107"/>
      <c r="P56" s="107"/>
      <c r="Q56" s="107"/>
      <c r="R56" s="107"/>
      <c r="S56" s="107"/>
      <c r="U56" s="280"/>
      <c r="V56" s="280"/>
      <c r="W56" s="280"/>
      <c r="X56" s="280"/>
      <c r="Y56" s="280"/>
    </row>
    <row r="57" spans="1:25" ht="15" customHeight="1">
      <c r="A57" s="1" t="s">
        <v>30</v>
      </c>
      <c r="B57" s="7">
        <v>3516.69</v>
      </c>
      <c r="C57" s="7">
        <v>3519.9</v>
      </c>
      <c r="D57" s="7">
        <v>3339.04</v>
      </c>
      <c r="E57" s="7">
        <v>2310.5</v>
      </c>
      <c r="F57" s="7">
        <v>1385.12</v>
      </c>
      <c r="G57" s="7"/>
      <c r="H57" s="7">
        <f>B59+B51+B37-B39</f>
        <v>8730.57</v>
      </c>
      <c r="I57" s="7">
        <f>C59+C51+C37-C39</f>
        <v>8335.7000000000007</v>
      </c>
      <c r="J57" s="7">
        <f>D59+D51+D37-D39</f>
        <v>7807.75</v>
      </c>
      <c r="K57" s="7">
        <f>E59+E51+E37-E39</f>
        <v>6920.9199999999992</v>
      </c>
      <c r="L57" s="7">
        <f>F59+F51+F37-F39</f>
        <v>6165.23</v>
      </c>
      <c r="N57" s="25">
        <f t="shared" ref="N57:N60" si="68">H57/$B$4</f>
        <v>1.0771260747424873</v>
      </c>
      <c r="O57" s="25">
        <f t="shared" ref="O57:O60" si="69">I57/$B$4</f>
        <v>1.0284093502750626</v>
      </c>
      <c r="P57" s="25">
        <f t="shared" ref="P57:P60" si="70">J57/$B$4</f>
        <v>0.96327400273643715</v>
      </c>
      <c r="Q57" s="25">
        <f t="shared" ref="Q57:Q60" si="71">K57/$B$4</f>
        <v>0.85386216400610437</v>
      </c>
      <c r="R57" s="25">
        <f t="shared" ref="R57:R60" si="72">L57/$B$4</f>
        <v>0.76062960262441348</v>
      </c>
      <c r="S57" s="25">
        <f t="shared" ref="S57:S60" si="73">AVERAGE(N57:R57)</f>
        <v>0.93666023887690086</v>
      </c>
      <c r="U57" s="278">
        <f>U$3*$S57</f>
        <v>9318.4026669644354</v>
      </c>
      <c r="V57" s="278">
        <f t="shared" ref="V57:Y60" si="74">V$3*$S57</f>
        <v>9685.6598988744518</v>
      </c>
      <c r="W57" s="278">
        <f t="shared" si="74"/>
        <v>10180.437269211392</v>
      </c>
      <c r="X57" s="278">
        <f t="shared" si="74"/>
        <v>10611.295762166061</v>
      </c>
      <c r="Y57" s="278">
        <f t="shared" si="74"/>
        <v>10998.49450655259</v>
      </c>
    </row>
    <row r="58" spans="1:25" ht="15" customHeight="1">
      <c r="A58" s="1" t="s">
        <v>31</v>
      </c>
      <c r="B58" s="7">
        <v>392.09</v>
      </c>
      <c r="C58" s="7">
        <v>480.95</v>
      </c>
      <c r="D58" s="7">
        <v>170.24</v>
      </c>
      <c r="E58" s="7">
        <v>74.14</v>
      </c>
      <c r="F58" s="7">
        <v>254.57</v>
      </c>
      <c r="G58" s="7"/>
      <c r="H58" s="7">
        <v>392.09</v>
      </c>
      <c r="I58" s="7">
        <v>480.95</v>
      </c>
      <c r="J58" s="7">
        <v>170.24</v>
      </c>
      <c r="K58" s="7">
        <v>74.14</v>
      </c>
      <c r="L58" s="7">
        <v>254.57</v>
      </c>
      <c r="N58" s="25">
        <f t="shared" si="68"/>
        <v>4.8373744514479795E-2</v>
      </c>
      <c r="O58" s="25">
        <f t="shared" si="69"/>
        <v>5.9336765600344454E-2</v>
      </c>
      <c r="P58" s="25">
        <f t="shared" si="70"/>
        <v>2.1003204024956111E-2</v>
      </c>
      <c r="Q58" s="25">
        <f t="shared" si="71"/>
        <v>9.1469545724286068E-3</v>
      </c>
      <c r="R58" s="25">
        <f t="shared" si="72"/>
        <v>3.1407340511237523E-2</v>
      </c>
      <c r="S58" s="25">
        <f t="shared" si="73"/>
        <v>3.3853601844689302E-2</v>
      </c>
      <c r="U58" s="278">
        <f t="shared" ref="U58:U60" si="75">U$3*$S58</f>
        <v>336.79394151945417</v>
      </c>
      <c r="V58" s="278">
        <f t="shared" si="74"/>
        <v>350.06767684804265</v>
      </c>
      <c r="W58" s="278">
        <f t="shared" si="74"/>
        <v>367.95035767714796</v>
      </c>
      <c r="X58" s="278">
        <f t="shared" si="74"/>
        <v>383.52282597085883</v>
      </c>
      <c r="Y58" s="278">
        <f t="shared" si="74"/>
        <v>397.5173050606752</v>
      </c>
    </row>
    <row r="59" spans="1:25" ht="15" customHeight="1">
      <c r="A59" s="1" t="s">
        <v>32</v>
      </c>
      <c r="B59" s="7">
        <v>7917.62</v>
      </c>
      <c r="C59" s="7">
        <v>7736.5</v>
      </c>
      <c r="D59" s="7">
        <v>7273.14</v>
      </c>
      <c r="E59" s="7">
        <v>6384.99</v>
      </c>
      <c r="F59" s="7">
        <v>5573.75</v>
      </c>
      <c r="G59" s="33"/>
      <c r="H59" s="7">
        <v>7917.62</v>
      </c>
      <c r="I59" s="7">
        <v>7736.5</v>
      </c>
      <c r="J59" s="7">
        <v>7273.14</v>
      </c>
      <c r="K59" s="7">
        <v>6384.99</v>
      </c>
      <c r="L59" s="7">
        <v>5573.75</v>
      </c>
      <c r="N59" s="25">
        <f t="shared" si="68"/>
        <v>0.97682911332279709</v>
      </c>
      <c r="O59" s="25">
        <f t="shared" si="69"/>
        <v>0.95448359926617088</v>
      </c>
      <c r="P59" s="25">
        <f t="shared" si="70"/>
        <v>0.89731698379974911</v>
      </c>
      <c r="Q59" s="25">
        <f t="shared" si="71"/>
        <v>0.78774229127880935</v>
      </c>
      <c r="R59" s="25">
        <f t="shared" si="72"/>
        <v>0.68765629954240548</v>
      </c>
      <c r="S59" s="25">
        <f t="shared" si="73"/>
        <v>0.86080565744198645</v>
      </c>
      <c r="U59" s="278">
        <f t="shared" si="75"/>
        <v>8563.7602634477498</v>
      </c>
      <c r="V59" s="278">
        <f t="shared" si="74"/>
        <v>8901.2755009299017</v>
      </c>
      <c r="W59" s="278">
        <f t="shared" si="74"/>
        <v>9355.9837738795359</v>
      </c>
      <c r="X59" s="278">
        <f t="shared" si="74"/>
        <v>9751.9495818623909</v>
      </c>
      <c r="Y59" s="278">
        <f t="shared" si="74"/>
        <v>10107.791386487303</v>
      </c>
    </row>
    <row r="60" spans="1:25" ht="15" customHeight="1">
      <c r="A60" s="5" t="s">
        <v>33</v>
      </c>
      <c r="B60" s="7">
        <v>157.5</v>
      </c>
      <c r="C60" s="7">
        <v>185.36</v>
      </c>
      <c r="D60" s="7">
        <v>155.03</v>
      </c>
      <c r="E60" s="7">
        <v>119.36</v>
      </c>
      <c r="F60" s="7">
        <v>90.65</v>
      </c>
      <c r="G60" s="8"/>
      <c r="H60" s="7">
        <v>157.5</v>
      </c>
      <c r="I60" s="7">
        <v>185.36</v>
      </c>
      <c r="J60" s="7">
        <v>155.03</v>
      </c>
      <c r="K60" s="7">
        <v>119.36</v>
      </c>
      <c r="L60" s="7">
        <v>90.65</v>
      </c>
      <c r="N60" s="25">
        <f t="shared" si="68"/>
        <v>1.9431418197430609E-2</v>
      </c>
      <c r="O60" s="25">
        <f t="shared" si="69"/>
        <v>2.2868620171909448E-2</v>
      </c>
      <c r="P60" s="25">
        <f t="shared" si="70"/>
        <v>1.9126684210461382E-2</v>
      </c>
      <c r="Q60" s="25">
        <f t="shared" si="71"/>
        <v>1.4725930641557573E-2</v>
      </c>
      <c r="R60" s="25">
        <f t="shared" si="72"/>
        <v>1.1183860695854508E-2</v>
      </c>
      <c r="S60" s="25">
        <f t="shared" si="73"/>
        <v>1.7467302783442704E-2</v>
      </c>
      <c r="U60" s="278">
        <f t="shared" si="75"/>
        <v>173.77417561470679</v>
      </c>
      <c r="V60" s="278">
        <f t="shared" si="74"/>
        <v>180.62296987640534</v>
      </c>
      <c r="W60" s="278">
        <f t="shared" si="74"/>
        <v>189.84982266609308</v>
      </c>
      <c r="X60" s="278">
        <f t="shared" si="74"/>
        <v>197.88468465861337</v>
      </c>
      <c r="Y60" s="278">
        <f t="shared" si="74"/>
        <v>205.10535809477616</v>
      </c>
    </row>
    <row r="61" spans="1:25" s="106" customFormat="1" ht="15" customHeight="1">
      <c r="A61" s="103" t="s">
        <v>34</v>
      </c>
      <c r="B61" s="104"/>
      <c r="C61" s="104"/>
      <c r="D61" s="104"/>
      <c r="E61" s="104"/>
      <c r="F61" s="104"/>
      <c r="G61" s="108"/>
      <c r="H61" s="104"/>
      <c r="I61" s="104"/>
      <c r="J61" s="104"/>
      <c r="K61" s="104"/>
      <c r="L61" s="104"/>
      <c r="N61" s="107"/>
      <c r="O61" s="107"/>
      <c r="P61" s="107"/>
      <c r="Q61" s="107"/>
      <c r="R61" s="107"/>
      <c r="S61" s="107"/>
      <c r="U61" s="280"/>
      <c r="V61" s="280"/>
      <c r="W61" s="280"/>
      <c r="X61" s="280"/>
      <c r="Y61" s="280"/>
    </row>
    <row r="62" spans="1:25" ht="15" customHeight="1">
      <c r="A62" s="6" t="s">
        <v>35</v>
      </c>
      <c r="B62" s="8">
        <f>SUM(B59,B60)</f>
        <v>8075.12</v>
      </c>
      <c r="C62" s="8">
        <f t="shared" ref="C62:F62" si="76">SUM(C59,C60)</f>
        <v>7921.86</v>
      </c>
      <c r="D62" s="8">
        <f t="shared" si="76"/>
        <v>7428.17</v>
      </c>
      <c r="E62" s="8">
        <f t="shared" si="76"/>
        <v>6504.3499999999995</v>
      </c>
      <c r="F62" s="8">
        <f t="shared" si="76"/>
        <v>5664.4</v>
      </c>
      <c r="G62" s="8"/>
      <c r="H62" s="8">
        <f>H59+H60</f>
        <v>8075.12</v>
      </c>
      <c r="I62" s="8">
        <f t="shared" ref="I62:L62" si="77">I59+I60</f>
        <v>7921.86</v>
      </c>
      <c r="J62" s="8">
        <f t="shared" si="77"/>
        <v>7428.17</v>
      </c>
      <c r="K62" s="8">
        <f t="shared" si="77"/>
        <v>6504.3499999999995</v>
      </c>
      <c r="L62" s="8">
        <f t="shared" si="77"/>
        <v>5664.4</v>
      </c>
      <c r="N62" s="25"/>
      <c r="O62" s="25"/>
      <c r="P62" s="25"/>
      <c r="Q62" s="25"/>
      <c r="R62" s="25"/>
      <c r="S62" s="25"/>
      <c r="U62" s="279">
        <f>U60+U59</f>
        <v>8737.5344390624559</v>
      </c>
      <c r="V62" s="279">
        <f t="shared" ref="V62:Y62" si="78">V60+V59</f>
        <v>9081.8984708063072</v>
      </c>
      <c r="W62" s="279">
        <f t="shared" si="78"/>
        <v>9545.8335965456281</v>
      </c>
      <c r="X62" s="279">
        <f t="shared" si="78"/>
        <v>9949.8342665210039</v>
      </c>
      <c r="Y62" s="279">
        <f t="shared" si="78"/>
        <v>10312.896744582078</v>
      </c>
    </row>
    <row r="63" spans="1:25" s="106" customFormat="1">
      <c r="A63" s="103" t="s">
        <v>36</v>
      </c>
      <c r="B63" s="104"/>
      <c r="C63" s="104"/>
      <c r="D63" s="104"/>
      <c r="E63" s="104"/>
      <c r="F63" s="104"/>
      <c r="H63" s="104"/>
      <c r="I63" s="104"/>
      <c r="J63" s="104"/>
      <c r="K63" s="104"/>
      <c r="L63" s="104"/>
      <c r="N63" s="107"/>
      <c r="O63" s="107"/>
      <c r="P63" s="107"/>
      <c r="Q63" s="107"/>
      <c r="R63" s="107"/>
      <c r="S63" s="107"/>
      <c r="U63" s="280"/>
      <c r="V63" s="280"/>
      <c r="W63" s="280"/>
      <c r="X63" s="280"/>
      <c r="Y63" s="280"/>
    </row>
    <row r="64" spans="1:25">
      <c r="A64" s="6" t="s">
        <v>37</v>
      </c>
      <c r="B64" s="8">
        <f>SUM(B62,B54)</f>
        <v>14826.09</v>
      </c>
      <c r="C64" s="8">
        <f t="shared" ref="C64:Y64" si="79">SUM(C62,C54)</f>
        <v>13014.509999999998</v>
      </c>
      <c r="D64" s="8">
        <f t="shared" si="79"/>
        <v>12551.95</v>
      </c>
      <c r="E64" s="8">
        <f t="shared" si="79"/>
        <v>11760.76</v>
      </c>
      <c r="F64" s="8">
        <f t="shared" si="79"/>
        <v>12127.14</v>
      </c>
      <c r="G64" s="8"/>
      <c r="H64" s="8">
        <f t="shared" si="79"/>
        <v>14463.5</v>
      </c>
      <c r="I64" s="8">
        <f t="shared" si="79"/>
        <v>12681.779999999999</v>
      </c>
      <c r="J64" s="8">
        <f t="shared" si="79"/>
        <v>12287.710000000001</v>
      </c>
      <c r="K64" s="8">
        <f t="shared" si="79"/>
        <v>11570.25</v>
      </c>
      <c r="L64" s="8">
        <f t="shared" si="79"/>
        <v>11953.8</v>
      </c>
      <c r="M64" s="8"/>
      <c r="N64" s="8"/>
      <c r="O64" s="8"/>
      <c r="P64" s="8"/>
      <c r="Q64" s="8"/>
      <c r="R64" s="8"/>
      <c r="S64" s="8"/>
      <c r="T64" s="8"/>
      <c r="U64" s="281">
        <f t="shared" si="79"/>
        <v>15454.594893547282</v>
      </c>
      <c r="V64" s="281">
        <f t="shared" si="79"/>
        <v>16063.691961333025</v>
      </c>
      <c r="W64" s="281">
        <f t="shared" si="79"/>
        <v>16884.281508097367</v>
      </c>
      <c r="X64" s="281">
        <f t="shared" si="79"/>
        <v>17598.861431614223</v>
      </c>
      <c r="Y64" s="281">
        <f t="shared" si="79"/>
        <v>18241.031549353225</v>
      </c>
    </row>
    <row r="66" spans="1:19" ht="16" thickBot="1"/>
    <row r="67" spans="1:19" ht="16" thickBot="1">
      <c r="A67" s="212"/>
      <c r="B67" s="68" t="s">
        <v>116</v>
      </c>
      <c r="C67" s="68" t="s">
        <v>117</v>
      </c>
      <c r="D67" s="68" t="s">
        <v>119</v>
      </c>
      <c r="E67" s="68" t="s">
        <v>118</v>
      </c>
      <c r="F67" s="69" t="s">
        <v>120</v>
      </c>
      <c r="M67" s="240"/>
      <c r="N67" s="246" t="s">
        <v>116</v>
      </c>
      <c r="O67" s="247" t="s">
        <v>117</v>
      </c>
      <c r="P67" s="247" t="s">
        <v>119</v>
      </c>
      <c r="Q67" s="247" t="s">
        <v>118</v>
      </c>
      <c r="R67" s="247" t="s">
        <v>120</v>
      </c>
      <c r="S67" s="248"/>
    </row>
    <row r="68" spans="1:19" ht="16" thickBot="1">
      <c r="A68" s="213" t="s">
        <v>210</v>
      </c>
      <c r="B68" s="214"/>
      <c r="C68" s="214"/>
      <c r="D68" s="214"/>
      <c r="E68" s="214"/>
      <c r="F68" s="215"/>
      <c r="M68" s="241" t="s">
        <v>210</v>
      </c>
      <c r="N68" s="249"/>
      <c r="O68" s="250"/>
      <c r="P68" s="250"/>
      <c r="Q68" s="250"/>
      <c r="R68" s="251"/>
      <c r="S68" s="252"/>
    </row>
    <row r="69" spans="1:19" ht="16">
      <c r="A69" s="216" t="s">
        <v>75</v>
      </c>
      <c r="B69" s="217">
        <f>U17</f>
        <v>1081.0969702045459</v>
      </c>
      <c r="C69">
        <f>V17</f>
        <v>1123.7052041362274</v>
      </c>
      <c r="D69">
        <f>W17</f>
        <v>1181.1079946266373</v>
      </c>
      <c r="E69">
        <f>X17</f>
        <v>1231.0950823247838</v>
      </c>
      <c r="F69">
        <f>Y17</f>
        <v>1276.016878944208</v>
      </c>
      <c r="M69" s="242" t="s">
        <v>216</v>
      </c>
      <c r="N69" s="253">
        <f>B75</f>
        <v>-1372.1616066592881</v>
      </c>
      <c r="O69" s="253">
        <f>C75</f>
        <v>1067.7332661421133</v>
      </c>
      <c r="P69" s="253">
        <f>D75</f>
        <v>1105.7013153643666</v>
      </c>
      <c r="Q69" s="253">
        <f>E75</f>
        <v>1165.4299768986098</v>
      </c>
      <c r="R69" s="253">
        <f>F75</f>
        <v>1217.0057493348882</v>
      </c>
      <c r="S69" s="254"/>
    </row>
    <row r="70" spans="1:19" ht="16">
      <c r="A70" s="216" t="s">
        <v>211</v>
      </c>
      <c r="B70" s="218">
        <f>SUM(U6:U7)</f>
        <v>348.70820236507154</v>
      </c>
      <c r="C70" s="218">
        <f>SUM(V6:V7)</f>
        <v>375.26099729456803</v>
      </c>
      <c r="D70" s="218">
        <f>SUM(W6:W7)</f>
        <v>391.07981121267608</v>
      </c>
      <c r="E70" s="218">
        <f t="shared" ref="E70:F70" si="80">SUM(E6:E7)</f>
        <v>641.59</v>
      </c>
      <c r="F70" s="218">
        <f t="shared" si="80"/>
        <v>605.87</v>
      </c>
      <c r="M70" s="243" t="s">
        <v>220</v>
      </c>
      <c r="N70" s="255">
        <f>U48/(U59+U60)</f>
        <v>0.44712858102090525</v>
      </c>
      <c r="O70" s="255">
        <f>V48/(V59+V60)</f>
        <v>0.44712858102090519</v>
      </c>
      <c r="P70" s="255">
        <f>W48/(W59+W60)</f>
        <v>0.44712858102090519</v>
      </c>
      <c r="Q70" s="255">
        <f>X48/(X59+X60)</f>
        <v>0.44712858102090519</v>
      </c>
      <c r="R70" s="255">
        <f>Y48/(Y59+Y60)</f>
        <v>0.44712858102090525</v>
      </c>
      <c r="S70" s="254"/>
    </row>
    <row r="71" spans="1:19" ht="16">
      <c r="A71" s="216" t="s">
        <v>212</v>
      </c>
      <c r="B71" s="218">
        <f>(U29-(U46-U43))-(H29-(H46-H43))</f>
        <v>1979.7819460907174</v>
      </c>
      <c r="C71" s="218">
        <f>(V29-(V46-V43))-(U29-(U46-U43))</f>
        <v>141.91257527770631</v>
      </c>
      <c r="D71" s="218">
        <f>(W29-(W46-W43))-(V29-(V46-V43))</f>
        <v>191.18787790365059</v>
      </c>
      <c r="E71" s="218">
        <f>(X29-(X46-X43))-(W29-(W46-W43))</f>
        <v>166.48886121989199</v>
      </c>
      <c r="F71" s="218">
        <f>(Y29-(Y46-Y43))-(X29-(X46-X43))</f>
        <v>149.61821357312874</v>
      </c>
      <c r="M71" s="243" t="s">
        <v>221</v>
      </c>
      <c r="N71" s="256">
        <f>0.490965</f>
        <v>0.49096499999999998</v>
      </c>
      <c r="O71" s="256">
        <f t="shared" ref="O71:R71" si="81">0.490965</f>
        <v>0.49096499999999998</v>
      </c>
      <c r="P71" s="256">
        <f t="shared" si="81"/>
        <v>0.49096499999999998</v>
      </c>
      <c r="Q71" s="256">
        <f t="shared" si="81"/>
        <v>0.49096499999999998</v>
      </c>
      <c r="R71" s="256">
        <f t="shared" si="81"/>
        <v>0.49096499999999998</v>
      </c>
      <c r="S71" s="254"/>
    </row>
    <row r="72" spans="1:19" ht="16">
      <c r="A72" s="216" t="s">
        <v>213</v>
      </c>
      <c r="B72" s="218">
        <f>U38-H38+B70</f>
        <v>862.16752870675066</v>
      </c>
      <c r="C72" s="218">
        <f>V38-U38+C70</f>
        <v>865.78663342733455</v>
      </c>
      <c r="D72" s="218">
        <f>W38-V38+D70</f>
        <v>1051.9272043773892</v>
      </c>
      <c r="E72" s="218">
        <f>X38-W38+E70</f>
        <v>1217.0644031604952</v>
      </c>
      <c r="F72" s="218">
        <f>Y38-X38+F70</f>
        <v>1123.0304366024948</v>
      </c>
      <c r="M72" s="243" t="s">
        <v>181</v>
      </c>
      <c r="N72" s="256">
        <f>'Beta &amp; Cost of Equity'!I24</f>
        <v>0.74099999999999999</v>
      </c>
      <c r="O72" s="256">
        <f>'Beta &amp; Cost of Equity'!I24</f>
        <v>0.74099999999999999</v>
      </c>
      <c r="P72" s="256">
        <f>'Beta &amp; Cost of Equity'!I24</f>
        <v>0.74099999999999999</v>
      </c>
      <c r="Q72" s="256">
        <f>'Beta &amp; Cost of Equity'!I24</f>
        <v>0.74099999999999999</v>
      </c>
      <c r="R72" s="256">
        <f>'Beta &amp; Cost of Equity'!I24</f>
        <v>0.74099999999999999</v>
      </c>
      <c r="S72" s="254"/>
    </row>
    <row r="73" spans="1:19" ht="16">
      <c r="A73" s="216" t="s">
        <v>214</v>
      </c>
      <c r="B73" s="218">
        <f>(U43+U48)-(H43+H48)</f>
        <v>20.894511870799761</v>
      </c>
      <c r="C73" s="218">
        <f>(V43+V48)-(U43+U48)</f>
        <v>178.78342537691879</v>
      </c>
      <c r="D73" s="218">
        <f>(W43+W48)-(V43+V48)</f>
        <v>240.86113323833888</v>
      </c>
      <c r="E73" s="218">
        <f>(X43+X48)-(W43+W48)</f>
        <v>209.74497036465709</v>
      </c>
      <c r="F73" s="218">
        <f>(Y43+Y48)-(X43+X48)</f>
        <v>188.49109509170012</v>
      </c>
      <c r="M73" s="243" t="s">
        <v>222</v>
      </c>
      <c r="N73" s="257">
        <f>4.292%</f>
        <v>4.292E-2</v>
      </c>
      <c r="O73" s="257">
        <f t="shared" ref="O73:R73" si="82">4.292%</f>
        <v>4.292E-2</v>
      </c>
      <c r="P73" s="257">
        <f t="shared" si="82"/>
        <v>4.292E-2</v>
      </c>
      <c r="Q73" s="257">
        <f t="shared" si="82"/>
        <v>4.292E-2</v>
      </c>
      <c r="R73" s="257">
        <f t="shared" si="82"/>
        <v>4.292E-2</v>
      </c>
      <c r="S73" s="254"/>
    </row>
    <row r="74" spans="1:19" ht="16">
      <c r="A74" s="216" t="s">
        <v>215</v>
      </c>
      <c r="B74" s="218">
        <f>(U52-U48+U60)-(H52-H48+H60)</f>
        <v>19.088183697763043</v>
      </c>
      <c r="C74" s="219">
        <f>(V52-V46+V59)-(U52-U46+U59)</f>
        <v>397.6828480394397</v>
      </c>
      <c r="D74" s="219">
        <f>(W52-W46+W59)-(V52-V46+V59)</f>
        <v>535.76745856775415</v>
      </c>
      <c r="E74" s="219">
        <f>(X52-X46+X59)-(W52-W46+W59)</f>
        <v>466.55318858955616</v>
      </c>
      <c r="F74" s="220">
        <f>(Y52-Y46+Y59)-(X52-X46+X59)</f>
        <v>419.27642547460346</v>
      </c>
      <c r="M74" s="243" t="s">
        <v>223</v>
      </c>
      <c r="N74" s="257">
        <f>0.070176</f>
        <v>7.0176000000000002E-2</v>
      </c>
      <c r="O74" s="257">
        <f t="shared" ref="O74:R74" si="83">0.070176</f>
        <v>7.0176000000000002E-2</v>
      </c>
      <c r="P74" s="257">
        <f t="shared" si="83"/>
        <v>7.0176000000000002E-2</v>
      </c>
      <c r="Q74" s="257">
        <f t="shared" si="83"/>
        <v>7.0176000000000002E-2</v>
      </c>
      <c r="R74" s="257">
        <f t="shared" si="83"/>
        <v>7.0176000000000002E-2</v>
      </c>
      <c r="S74" s="254"/>
    </row>
    <row r="75" spans="1:19">
      <c r="A75" s="221" t="s">
        <v>216</v>
      </c>
      <c r="B75" s="276">
        <f>B69+B70-B71-B72+B73+B74</f>
        <v>-1372.1616066592881</v>
      </c>
      <c r="C75" s="276">
        <f t="shared" ref="C75:F75" si="84">C69+C70-C71-C72+C73+C74</f>
        <v>1067.7332661421133</v>
      </c>
      <c r="D75" s="276">
        <f t="shared" si="84"/>
        <v>1105.7013153643666</v>
      </c>
      <c r="E75" s="276">
        <f t="shared" si="84"/>
        <v>1165.4299768986098</v>
      </c>
      <c r="F75" s="276">
        <f t="shared" si="84"/>
        <v>1217.0057493348882</v>
      </c>
      <c r="I75" s="237"/>
      <c r="J75" s="237"/>
      <c r="K75" s="237"/>
      <c r="L75" s="237"/>
      <c r="M75" s="243" t="s">
        <v>224</v>
      </c>
      <c r="N75" s="257">
        <f>'Beta &amp; Cost of Equity'!V25</f>
        <v>6.3001100000000004E-2</v>
      </c>
      <c r="O75" s="257">
        <f>N75</f>
        <v>6.3001100000000004E-2</v>
      </c>
      <c r="P75" s="257">
        <f t="shared" ref="P75:R75" si="85">O75</f>
        <v>6.3001100000000004E-2</v>
      </c>
      <c r="Q75" s="257">
        <f t="shared" si="85"/>
        <v>6.3001100000000004E-2</v>
      </c>
      <c r="R75" s="257">
        <f t="shared" si="85"/>
        <v>6.3001100000000004E-2</v>
      </c>
      <c r="S75" s="254"/>
    </row>
    <row r="76" spans="1:19" ht="16" thickBot="1">
      <c r="A76" s="222"/>
      <c r="B76" s="236"/>
      <c r="C76" s="223"/>
      <c r="D76" s="223"/>
      <c r="E76" s="223"/>
      <c r="F76" s="224"/>
      <c r="I76" s="239"/>
      <c r="J76" s="238"/>
      <c r="K76" s="239"/>
      <c r="L76" s="238"/>
      <c r="M76" s="243" t="s">
        <v>225</v>
      </c>
      <c r="N76" s="258">
        <f>N69/(1+N75)^1</f>
        <v>-1290.8374287282377</v>
      </c>
      <c r="O76" s="258">
        <f t="shared" ref="O76:R76" si="86">O69/(1+O75)^1</f>
        <v>1004.4517038995664</v>
      </c>
      <c r="P76" s="258">
        <f t="shared" si="86"/>
        <v>1040.1694931118761</v>
      </c>
      <c r="Q76" s="258">
        <f t="shared" si="86"/>
        <v>1096.3582040494689</v>
      </c>
      <c r="R76" s="258">
        <f t="shared" si="86"/>
        <v>1144.8772248070941</v>
      </c>
      <c r="S76" s="254"/>
    </row>
    <row r="77" spans="1:19" ht="16" thickBot="1">
      <c r="A77" s="225"/>
      <c r="B77" s="218"/>
      <c r="C77" s="226"/>
      <c r="D77" s="226"/>
      <c r="E77" s="226"/>
      <c r="F77" s="227"/>
      <c r="I77" s="239"/>
      <c r="J77" s="238"/>
      <c r="K77" s="239"/>
      <c r="L77" s="238"/>
      <c r="M77" s="243" t="s">
        <v>226</v>
      </c>
      <c r="N77" s="257">
        <v>0.02</v>
      </c>
      <c r="O77" s="257">
        <v>0.02</v>
      </c>
      <c r="P77" s="257">
        <v>0.02</v>
      </c>
      <c r="Q77" s="257">
        <v>0.02</v>
      </c>
      <c r="R77" s="257">
        <v>0.02</v>
      </c>
      <c r="S77" s="254"/>
    </row>
    <row r="78" spans="1:19">
      <c r="I78" s="239"/>
      <c r="J78" s="238"/>
      <c r="K78" s="239"/>
      <c r="L78" s="238"/>
      <c r="M78" s="243" t="s">
        <v>227</v>
      </c>
      <c r="N78" s="258"/>
      <c r="O78" s="259"/>
      <c r="P78" s="259"/>
      <c r="Q78" s="259"/>
      <c r="R78" s="260"/>
      <c r="S78" s="261">
        <f>(R69*(1+R77)/(R75-R77))</f>
        <v>28867.769994757946</v>
      </c>
    </row>
    <row r="79" spans="1:19">
      <c r="I79" s="239"/>
      <c r="J79" s="238"/>
      <c r="K79" s="239"/>
      <c r="L79" s="238"/>
      <c r="M79" s="243" t="s">
        <v>228</v>
      </c>
      <c r="N79" s="258"/>
      <c r="O79" s="259"/>
      <c r="P79" s="259"/>
      <c r="Q79" s="259"/>
      <c r="R79" s="260"/>
      <c r="S79" s="261">
        <f>S78/(1+R75)^5</f>
        <v>21268.88224094993</v>
      </c>
    </row>
    <row r="80" spans="1:19">
      <c r="I80" s="239"/>
      <c r="J80" s="238"/>
      <c r="K80" s="239"/>
      <c r="L80" s="238"/>
      <c r="M80" s="243" t="s">
        <v>229</v>
      </c>
      <c r="N80" s="258"/>
      <c r="O80" s="259"/>
      <c r="P80" s="259"/>
      <c r="Q80" s="259"/>
      <c r="R80" s="260"/>
      <c r="S80" s="261">
        <f>SUM(N76:R76)+S79</f>
        <v>24263.901438089699</v>
      </c>
    </row>
    <row r="81" spans="1:19" ht="16" thickBot="1">
      <c r="I81" s="239"/>
      <c r="J81" s="238"/>
      <c r="K81" s="239"/>
      <c r="L81" s="238"/>
      <c r="M81" s="243" t="s">
        <v>230</v>
      </c>
      <c r="N81" s="262"/>
      <c r="O81" s="259"/>
      <c r="P81" s="259"/>
      <c r="Q81" s="259"/>
      <c r="R81" s="260"/>
      <c r="S81" s="271">
        <v>480.22</v>
      </c>
    </row>
    <row r="82" spans="1:19" ht="16" thickBot="1">
      <c r="A82" s="212"/>
      <c r="B82" s="68" t="s">
        <v>116</v>
      </c>
      <c r="C82" s="68" t="s">
        <v>117</v>
      </c>
      <c r="D82" s="68" t="s">
        <v>119</v>
      </c>
      <c r="E82" s="68" t="s">
        <v>118</v>
      </c>
      <c r="F82" s="69" t="s">
        <v>120</v>
      </c>
      <c r="I82" s="239"/>
      <c r="J82" s="238"/>
      <c r="K82" s="239"/>
      <c r="L82" s="238"/>
      <c r="M82" s="243" t="s">
        <v>231</v>
      </c>
      <c r="N82" s="258"/>
      <c r="O82" s="259"/>
      <c r="P82" s="259"/>
      <c r="Q82" s="259"/>
      <c r="R82" s="260"/>
      <c r="S82" s="263">
        <f>S80/S81</f>
        <v>50.526636620902288</v>
      </c>
    </row>
    <row r="83" spans="1:19" ht="16" thickBot="1">
      <c r="A83" s="228" t="s">
        <v>217</v>
      </c>
      <c r="B83" s="229"/>
      <c r="C83" s="229"/>
      <c r="D83" s="229"/>
      <c r="E83" s="229"/>
      <c r="F83" s="230"/>
      <c r="M83" s="244" t="s">
        <v>242</v>
      </c>
      <c r="N83" s="264"/>
      <c r="O83" s="265"/>
      <c r="P83" s="265"/>
      <c r="Q83" s="265"/>
      <c r="R83" s="266"/>
      <c r="S83" s="267">
        <v>26.25</v>
      </c>
    </row>
    <row r="84" spans="1:19" ht="17" thickBot="1">
      <c r="A84" s="231" t="s">
        <v>75</v>
      </c>
      <c r="B84" s="217">
        <f>U17</f>
        <v>1081.0969702045459</v>
      </c>
      <c r="C84" s="217">
        <f>V17</f>
        <v>1123.7052041362274</v>
      </c>
      <c r="D84" s="217">
        <f>W17</f>
        <v>1181.1079946266373</v>
      </c>
      <c r="E84" s="217">
        <f>X17</f>
        <v>1231.0950823247838</v>
      </c>
      <c r="F84" s="217">
        <f>Y17</f>
        <v>1276.016878944208</v>
      </c>
      <c r="M84" s="245" t="s">
        <v>232</v>
      </c>
      <c r="N84" s="268"/>
      <c r="O84" s="268"/>
      <c r="P84" s="268"/>
      <c r="Q84" s="268"/>
      <c r="R84" s="269"/>
      <c r="S84" s="270" t="s">
        <v>233</v>
      </c>
    </row>
    <row r="85" spans="1:19" ht="16">
      <c r="A85" s="216" t="s">
        <v>211</v>
      </c>
      <c r="B85" s="218">
        <f>B70</f>
        <v>348.70820236507154</v>
      </c>
      <c r="C85" s="218">
        <f t="shared" ref="C85:F85" si="87">C70</f>
        <v>375.26099729456803</v>
      </c>
      <c r="D85" s="218">
        <f t="shared" si="87"/>
        <v>391.07981121267608</v>
      </c>
      <c r="E85" s="218">
        <f t="shared" si="87"/>
        <v>641.59</v>
      </c>
      <c r="F85" s="218">
        <f t="shared" si="87"/>
        <v>605.87</v>
      </c>
    </row>
    <row r="86" spans="1:19" ht="17" thickBot="1">
      <c r="A86" s="216" t="s">
        <v>212</v>
      </c>
      <c r="B86" s="217">
        <f>B71</f>
        <v>1979.7819460907174</v>
      </c>
      <c r="C86" s="217">
        <f t="shared" ref="C86:F86" si="88">C71</f>
        <v>141.91257527770631</v>
      </c>
      <c r="D86" s="217">
        <f t="shared" si="88"/>
        <v>191.18787790365059</v>
      </c>
      <c r="E86" s="217">
        <f t="shared" si="88"/>
        <v>166.48886121989199</v>
      </c>
      <c r="F86" s="217">
        <f t="shared" si="88"/>
        <v>149.61821357312874</v>
      </c>
    </row>
    <row r="87" spans="1:19" ht="17" thickBot="1">
      <c r="A87" s="216" t="s">
        <v>213</v>
      </c>
      <c r="B87" s="217">
        <f>B72</f>
        <v>862.16752870675066</v>
      </c>
      <c r="C87" s="217">
        <f t="shared" ref="C87:F87" si="89">C72</f>
        <v>865.78663342733455</v>
      </c>
      <c r="D87" s="217">
        <f t="shared" si="89"/>
        <v>1051.9272043773892</v>
      </c>
      <c r="E87" s="217">
        <f t="shared" si="89"/>
        <v>1217.0644031604952</v>
      </c>
      <c r="F87" s="217">
        <f t="shared" si="89"/>
        <v>1123.0304366024948</v>
      </c>
      <c r="M87" s="240"/>
      <c r="N87" s="247" t="s">
        <v>116</v>
      </c>
      <c r="O87" s="247" t="s">
        <v>117</v>
      </c>
      <c r="P87" s="247" t="s">
        <v>119</v>
      </c>
      <c r="Q87" s="247" t="s">
        <v>118</v>
      </c>
      <c r="R87" s="247" t="s">
        <v>120</v>
      </c>
      <c r="S87" s="248"/>
    </row>
    <row r="88" spans="1:19" ht="16">
      <c r="A88" s="216" t="s">
        <v>218</v>
      </c>
      <c r="B88" s="217">
        <f>U11*(1-U15/U13)</f>
        <v>94.12403626547092</v>
      </c>
      <c r="C88" s="217">
        <f t="shared" ref="C88:F88" si="90">V11*(1-V15/V13)</f>
        <v>97.833656277665085</v>
      </c>
      <c r="D88" s="217">
        <f t="shared" si="90"/>
        <v>102.83134148330983</v>
      </c>
      <c r="E88" s="217">
        <f t="shared" si="90"/>
        <v>107.18338999049911</v>
      </c>
      <c r="F88" s="217">
        <f t="shared" si="90"/>
        <v>111.09443676118504</v>
      </c>
      <c r="M88" s="241" t="s">
        <v>217</v>
      </c>
      <c r="N88" s="250"/>
      <c r="O88" s="250"/>
      <c r="P88" s="250"/>
      <c r="Q88" s="250"/>
      <c r="R88" s="251"/>
      <c r="S88" s="252"/>
    </row>
    <row r="89" spans="1:19" ht="16">
      <c r="A89" s="216" t="s">
        <v>215</v>
      </c>
      <c r="B89" s="217">
        <f>(U52-U48+U60)-(H52-H48+H60)</f>
        <v>19.088183697763043</v>
      </c>
      <c r="C89" s="219">
        <f>C74</f>
        <v>397.6828480394397</v>
      </c>
      <c r="D89" s="219">
        <f>D74</f>
        <v>535.76745856775415</v>
      </c>
      <c r="E89" s="219">
        <f>E74</f>
        <v>466.55318858955616</v>
      </c>
      <c r="F89" s="220">
        <f>F74</f>
        <v>419.27642547460346</v>
      </c>
      <c r="M89" s="242" t="s">
        <v>219</v>
      </c>
      <c r="N89" s="217">
        <f>B90</f>
        <v>-1298.9320822646168</v>
      </c>
      <c r="O89" s="217">
        <f>C90</f>
        <v>986.78349704285949</v>
      </c>
      <c r="P89" s="217">
        <f>D90</f>
        <v>967.67152360933756</v>
      </c>
      <c r="Q89" s="217">
        <f>E90</f>
        <v>1062.8683965244518</v>
      </c>
      <c r="R89" s="217">
        <f>F90</f>
        <v>1139.6090910043731</v>
      </c>
      <c r="S89" s="254"/>
    </row>
    <row r="90" spans="1:19">
      <c r="A90" s="221" t="s">
        <v>219</v>
      </c>
      <c r="B90" s="275">
        <f>B84+B85-B86-B87+B88+B89</f>
        <v>-1298.9320822646168</v>
      </c>
      <c r="C90" s="275">
        <f t="shared" ref="C90:F90" si="91">C84+C85-C86-C87+C88+C89</f>
        <v>986.78349704285949</v>
      </c>
      <c r="D90" s="275">
        <f t="shared" si="91"/>
        <v>967.67152360933756</v>
      </c>
      <c r="E90" s="275">
        <f t="shared" si="91"/>
        <v>1062.8683965244518</v>
      </c>
      <c r="F90" s="275">
        <f t="shared" si="91"/>
        <v>1139.6090910043731</v>
      </c>
      <c r="M90" s="243" t="s">
        <v>220</v>
      </c>
      <c r="N90" s="272">
        <f>U48/(U59+U60)</f>
        <v>0.44712858102090525</v>
      </c>
      <c r="O90" s="272">
        <f>V48/(V59+V60)</f>
        <v>0.44712858102090519</v>
      </c>
      <c r="P90" s="272">
        <f>W48/(W59+W60)</f>
        <v>0.44712858102090519</v>
      </c>
      <c r="Q90" s="272">
        <f>X48/(X59+X60)</f>
        <v>0.44712858102090519</v>
      </c>
      <c r="R90" s="272">
        <f>Y48/(Y59+Y60)</f>
        <v>0.44712858102090525</v>
      </c>
      <c r="S90" s="254"/>
    </row>
    <row r="91" spans="1:19" ht="16" thickBot="1">
      <c r="A91" s="222"/>
      <c r="B91" s="232"/>
      <c r="C91" s="232"/>
      <c r="D91" s="232"/>
      <c r="E91" s="232"/>
      <c r="F91" s="233"/>
      <c r="M91" s="243" t="s">
        <v>234</v>
      </c>
      <c r="N91" s="273">
        <f>N71</f>
        <v>0.49096499999999998</v>
      </c>
      <c r="O91" s="273">
        <f t="shared" ref="O91:R91" si="92">O71</f>
        <v>0.49096499999999998</v>
      </c>
      <c r="P91" s="273">
        <f t="shared" si="92"/>
        <v>0.49096499999999998</v>
      </c>
      <c r="Q91" s="273">
        <f t="shared" si="92"/>
        <v>0.49096499999999998</v>
      </c>
      <c r="R91" s="273">
        <f t="shared" si="92"/>
        <v>0.49096499999999998</v>
      </c>
      <c r="S91" s="254"/>
    </row>
    <row r="92" spans="1:19" ht="16" thickBot="1">
      <c r="A92" s="225"/>
      <c r="B92" s="234"/>
      <c r="C92" s="234"/>
      <c r="D92" s="234"/>
      <c r="E92" s="234"/>
      <c r="F92" s="235"/>
      <c r="M92" s="243" t="s">
        <v>181</v>
      </c>
      <c r="N92" s="273">
        <f>N72</f>
        <v>0.74099999999999999</v>
      </c>
      <c r="O92" s="273">
        <f t="shared" ref="O92:R92" si="93">O72</f>
        <v>0.74099999999999999</v>
      </c>
      <c r="P92" s="273">
        <f t="shared" si="93"/>
        <v>0.74099999999999999</v>
      </c>
      <c r="Q92" s="273">
        <f t="shared" si="93"/>
        <v>0.74099999999999999</v>
      </c>
      <c r="R92" s="273">
        <f t="shared" si="93"/>
        <v>0.74099999999999999</v>
      </c>
      <c r="S92" s="254"/>
    </row>
    <row r="93" spans="1:19">
      <c r="M93" s="243" t="s">
        <v>235</v>
      </c>
      <c r="N93" s="274">
        <f>N73</f>
        <v>4.292E-2</v>
      </c>
      <c r="O93" s="274">
        <f t="shared" ref="O93:R93" si="94">O73</f>
        <v>4.292E-2</v>
      </c>
      <c r="P93" s="274">
        <f t="shared" si="94"/>
        <v>4.292E-2</v>
      </c>
      <c r="Q93" s="274">
        <f t="shared" si="94"/>
        <v>4.292E-2</v>
      </c>
      <c r="R93" s="274">
        <f t="shared" si="94"/>
        <v>4.292E-2</v>
      </c>
      <c r="S93" s="254"/>
    </row>
    <row r="94" spans="1:19">
      <c r="M94" s="243" t="s">
        <v>236</v>
      </c>
      <c r="N94" s="274">
        <f>N74</f>
        <v>7.0176000000000002E-2</v>
      </c>
      <c r="O94" s="274">
        <f t="shared" ref="O94:R94" si="95">O74</f>
        <v>7.0176000000000002E-2</v>
      </c>
      <c r="P94" s="274">
        <f t="shared" si="95"/>
        <v>7.0176000000000002E-2</v>
      </c>
      <c r="Q94" s="274">
        <f t="shared" si="95"/>
        <v>7.0176000000000002E-2</v>
      </c>
      <c r="R94" s="274">
        <f t="shared" si="95"/>
        <v>7.0176000000000002E-2</v>
      </c>
      <c r="S94" s="254"/>
    </row>
    <row r="95" spans="1:19">
      <c r="M95" s="243" t="s">
        <v>182</v>
      </c>
      <c r="N95" s="274">
        <f>N75</f>
        <v>6.3001100000000004E-2</v>
      </c>
      <c r="O95" s="274">
        <f t="shared" ref="O95:R95" si="96">O75</f>
        <v>6.3001100000000004E-2</v>
      </c>
      <c r="P95" s="274">
        <f t="shared" si="96"/>
        <v>6.3001100000000004E-2</v>
      </c>
      <c r="Q95" s="274">
        <f t="shared" si="96"/>
        <v>6.3001100000000004E-2</v>
      </c>
      <c r="R95" s="274">
        <f t="shared" si="96"/>
        <v>6.3001100000000004E-2</v>
      </c>
      <c r="S95" s="254"/>
    </row>
    <row r="96" spans="1:19">
      <c r="M96" s="243" t="s">
        <v>237</v>
      </c>
      <c r="N96" s="274">
        <f>'Cost Of Debt &amp; WACC'!B12</f>
        <v>3.21254637286916E-2</v>
      </c>
      <c r="O96" s="274">
        <f>N96</f>
        <v>3.21254637286916E-2</v>
      </c>
      <c r="P96" s="274">
        <f t="shared" ref="P96:R96" si="97">O96</f>
        <v>3.21254637286916E-2</v>
      </c>
      <c r="Q96" s="274">
        <f t="shared" si="97"/>
        <v>3.21254637286916E-2</v>
      </c>
      <c r="R96" s="274">
        <f t="shared" si="97"/>
        <v>3.21254637286916E-2</v>
      </c>
      <c r="S96" s="254"/>
    </row>
    <row r="97" spans="13:19">
      <c r="M97" s="243" t="s">
        <v>238</v>
      </c>
      <c r="N97" s="274">
        <f>N77</f>
        <v>0.02</v>
      </c>
      <c r="O97" s="274">
        <f t="shared" ref="O97:R97" si="98">O77</f>
        <v>0.02</v>
      </c>
      <c r="P97" s="274">
        <f t="shared" si="98"/>
        <v>0.02</v>
      </c>
      <c r="Q97" s="274">
        <f t="shared" si="98"/>
        <v>0.02</v>
      </c>
      <c r="R97" s="274">
        <f t="shared" si="98"/>
        <v>0.02</v>
      </c>
      <c r="S97" s="254"/>
    </row>
    <row r="98" spans="13:19">
      <c r="M98" s="243" t="s">
        <v>203</v>
      </c>
      <c r="N98" s="274">
        <f>(U15/U13)</f>
        <v>0.25105996335220149</v>
      </c>
      <c r="O98" s="274">
        <f>(V15/V13)</f>
        <v>0.25105996335220149</v>
      </c>
      <c r="P98" s="274">
        <f>(W15/W13)</f>
        <v>0.25105996335220149</v>
      </c>
      <c r="Q98" s="274">
        <f>(X15/X13)</f>
        <v>0.25105996335220149</v>
      </c>
      <c r="R98" s="274">
        <f>(Y15/Y13)</f>
        <v>0.25105996335220149</v>
      </c>
      <c r="S98" s="261"/>
    </row>
    <row r="99" spans="13:19">
      <c r="M99" s="243" t="s">
        <v>239</v>
      </c>
      <c r="N99" s="274">
        <f>'Cost Of Debt &amp; WACC'!B22</f>
        <v>5.45E-2</v>
      </c>
      <c r="O99" s="274">
        <f>N99</f>
        <v>5.45E-2</v>
      </c>
      <c r="P99" s="274">
        <f t="shared" ref="P99:R99" si="99">O99</f>
        <v>5.45E-2</v>
      </c>
      <c r="Q99" s="274">
        <f t="shared" si="99"/>
        <v>5.45E-2</v>
      </c>
      <c r="R99" s="274">
        <f t="shared" si="99"/>
        <v>5.45E-2</v>
      </c>
      <c r="S99" s="261"/>
    </row>
    <row r="100" spans="13:19">
      <c r="M100" s="243" t="s">
        <v>240</v>
      </c>
      <c r="N100" s="259">
        <f>N89/(1+N99)^1</f>
        <v>-1231.7990348645014</v>
      </c>
      <c r="O100" s="259">
        <f t="shared" ref="O100:R100" si="100">O89/(1+O99)^1</f>
        <v>935.78330682110902</v>
      </c>
      <c r="P100" s="259">
        <f t="shared" si="100"/>
        <v>917.65910252189428</v>
      </c>
      <c r="Q100" s="259">
        <f t="shared" si="100"/>
        <v>1007.9358904926048</v>
      </c>
      <c r="R100" s="259">
        <f t="shared" si="100"/>
        <v>1080.7103755375754</v>
      </c>
      <c r="S100" s="261"/>
    </row>
    <row r="101" spans="13:19">
      <c r="M101" s="243" t="s">
        <v>241</v>
      </c>
      <c r="N101" s="259"/>
      <c r="O101" s="259"/>
      <c r="P101" s="259"/>
      <c r="Q101" s="259"/>
      <c r="R101" s="259"/>
      <c r="S101" s="261">
        <f>SUM(N100:R100)</f>
        <v>2710.2896405086822</v>
      </c>
    </row>
    <row r="102" spans="13:19" ht="16" thickBot="1">
      <c r="M102" s="243" t="s">
        <v>230</v>
      </c>
      <c r="N102" s="259"/>
      <c r="O102" s="259"/>
      <c r="P102" s="259"/>
      <c r="Q102" s="259"/>
      <c r="R102" s="260"/>
      <c r="S102" s="261">
        <v>480.22</v>
      </c>
    </row>
    <row r="103" spans="13:19">
      <c r="M103" s="243" t="s">
        <v>231</v>
      </c>
      <c r="N103" s="259"/>
      <c r="O103" s="259"/>
      <c r="P103" s="259"/>
      <c r="Q103" s="259"/>
      <c r="R103" s="260"/>
      <c r="S103" s="263">
        <f>S101/S102</f>
        <v>5.6438499864826159</v>
      </c>
    </row>
    <row r="104" spans="13:19" ht="16" thickBot="1">
      <c r="M104" s="244" t="s">
        <v>242</v>
      </c>
      <c r="N104" s="265"/>
      <c r="O104" s="265"/>
      <c r="P104" s="265"/>
      <c r="Q104" s="265"/>
      <c r="R104" s="266"/>
      <c r="S104" s="267">
        <v>26.25</v>
      </c>
    </row>
    <row r="105" spans="13:19" ht="16" thickBot="1">
      <c r="M105" s="245" t="s">
        <v>232</v>
      </c>
      <c r="N105" s="268"/>
      <c r="O105" s="268"/>
      <c r="P105" s="268"/>
      <c r="Q105" s="268"/>
      <c r="R105" s="269"/>
      <c r="S105" s="270" t="s">
        <v>233</v>
      </c>
    </row>
  </sheetData>
  <mergeCells count="7">
    <mergeCell ref="H2:L18"/>
    <mergeCell ref="S3:S4"/>
    <mergeCell ref="R3:R4"/>
    <mergeCell ref="N3:N4"/>
    <mergeCell ref="O3:O4"/>
    <mergeCell ref="P3:P4"/>
    <mergeCell ref="Q3:Q4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85A4-C62E-4BC6-BF6E-A1C609A282E7}">
  <dimension ref="A1:M12"/>
  <sheetViews>
    <sheetView workbookViewId="0">
      <selection activeCell="F17" sqref="F17"/>
    </sheetView>
  </sheetViews>
  <sheetFormatPr baseColWidth="10" defaultColWidth="8.83203125" defaultRowHeight="15"/>
  <cols>
    <col min="1" max="1" width="5.33203125" bestFit="1" customWidth="1"/>
    <col min="2" max="2" width="9.1640625" bestFit="1" customWidth="1"/>
    <col min="3" max="3" width="8.1640625" bestFit="1" customWidth="1"/>
    <col min="4" max="4" width="6.1640625" bestFit="1" customWidth="1"/>
    <col min="5" max="5" width="8.5" bestFit="1" customWidth="1"/>
    <col min="6" max="6" width="15.83203125" bestFit="1" customWidth="1"/>
    <col min="7" max="7" width="22" bestFit="1" customWidth="1"/>
    <col min="8" max="8" width="5.5" bestFit="1" customWidth="1"/>
    <col min="9" max="9" width="8" bestFit="1" customWidth="1"/>
    <col min="10" max="10" width="5.5" bestFit="1" customWidth="1"/>
  </cols>
  <sheetData>
    <row r="1" spans="1:13" ht="16">
      <c r="A1" s="293" t="s">
        <v>72</v>
      </c>
      <c r="B1" s="293"/>
      <c r="C1" s="293"/>
      <c r="D1" s="34"/>
      <c r="E1" s="34"/>
      <c r="F1" s="34"/>
      <c r="G1" s="35" t="s">
        <v>73</v>
      </c>
    </row>
    <row r="2" spans="1:13">
      <c r="A2" s="36" t="s">
        <v>74</v>
      </c>
      <c r="B2" s="36" t="s">
        <v>75</v>
      </c>
      <c r="C2" s="36" t="s">
        <v>76</v>
      </c>
      <c r="D2" s="36" t="s">
        <v>77</v>
      </c>
      <c r="E2" s="36" t="s">
        <v>78</v>
      </c>
      <c r="F2" s="36" t="s">
        <v>79</v>
      </c>
      <c r="G2" s="36" t="s">
        <v>80</v>
      </c>
      <c r="H2" s="45" t="s">
        <v>81</v>
      </c>
      <c r="I2" s="45"/>
      <c r="J2" s="45"/>
      <c r="K2" s="45"/>
      <c r="L2" s="45"/>
      <c r="M2" s="45"/>
    </row>
    <row r="3" spans="1:13">
      <c r="A3" s="37">
        <v>2020</v>
      </c>
      <c r="B3" s="38">
        <f>'Income Sheet'!F20</f>
        <v>527.75</v>
      </c>
      <c r="C3" s="37">
        <v>1287</v>
      </c>
      <c r="D3" s="39">
        <f>'Income Sheet'!F57</f>
        <v>1385.12</v>
      </c>
      <c r="E3" s="39">
        <f>C3+B3-D3</f>
        <v>429.63000000000011</v>
      </c>
      <c r="F3" s="40">
        <f>1-G3</f>
        <v>0.18592136428233041</v>
      </c>
      <c r="G3" s="40">
        <f>E3/B3</f>
        <v>0.81407863571766959</v>
      </c>
      <c r="H3" s="41">
        <v>1</v>
      </c>
    </row>
    <row r="4" spans="1:13">
      <c r="A4" s="37">
        <v>2021</v>
      </c>
      <c r="B4" s="38">
        <f>'Income Sheet'!E20</f>
        <v>1315.04</v>
      </c>
      <c r="C4" s="39">
        <v>1385.12</v>
      </c>
      <c r="D4" s="39">
        <f>'Income Sheet'!E57</f>
        <v>2310.5</v>
      </c>
      <c r="E4" s="39">
        <f>C4+B4-D4</f>
        <v>389.65999999999985</v>
      </c>
      <c r="F4" s="40">
        <f t="shared" ref="F4:F12" si="0">1-G4</f>
        <v>0.70368962160846826</v>
      </c>
      <c r="G4" s="40">
        <f>E4/B4</f>
        <v>0.29631037839153174</v>
      </c>
      <c r="H4" s="41">
        <v>1</v>
      </c>
    </row>
    <row r="5" spans="1:13">
      <c r="A5" s="37">
        <v>2022</v>
      </c>
      <c r="B5" s="38">
        <f>'Income Sheet'!D20</f>
        <v>1460.57</v>
      </c>
      <c r="C5" s="39">
        <v>2310.5</v>
      </c>
      <c r="D5" s="39">
        <f>'Income Sheet'!D57</f>
        <v>3339.04</v>
      </c>
      <c r="E5" s="39">
        <f t="shared" ref="E5:E7" si="1">C5+B5-D5</f>
        <v>432.02999999999975</v>
      </c>
      <c r="F5" s="40">
        <f t="shared" si="0"/>
        <v>0.70420452289174795</v>
      </c>
      <c r="G5" s="40">
        <f t="shared" ref="G5:G12" si="2">E5/B5</f>
        <v>0.2957954771082521</v>
      </c>
      <c r="H5" s="41">
        <v>1</v>
      </c>
    </row>
    <row r="6" spans="1:13">
      <c r="A6" s="37">
        <v>2023</v>
      </c>
      <c r="B6" s="38">
        <f>'Income Sheet'!C20</f>
        <v>684.98</v>
      </c>
      <c r="C6" s="39">
        <v>3339.04</v>
      </c>
      <c r="D6" s="39">
        <v>3519.9</v>
      </c>
      <c r="E6" s="39">
        <f t="shared" si="1"/>
        <v>504.11999999999989</v>
      </c>
      <c r="F6" s="40">
        <f t="shared" si="0"/>
        <v>0.26403690618704212</v>
      </c>
      <c r="G6" s="40">
        <f t="shared" si="2"/>
        <v>0.73596309381295788</v>
      </c>
      <c r="H6" s="41">
        <v>1</v>
      </c>
    </row>
    <row r="7" spans="1:13">
      <c r="A7" s="37">
        <v>2024</v>
      </c>
      <c r="B7" s="38">
        <f>'Income Sheet'!B20</f>
        <v>511.09</v>
      </c>
      <c r="C7" s="39">
        <v>3519.9</v>
      </c>
      <c r="D7" s="39">
        <f>'Income Sheet'!B57</f>
        <v>3516.69</v>
      </c>
      <c r="E7" s="39">
        <f t="shared" si="1"/>
        <v>514.30000000000018</v>
      </c>
      <c r="F7" s="40">
        <f t="shared" si="0"/>
        <v>-6.2806942025870338E-3</v>
      </c>
      <c r="G7" s="40">
        <f>E7/B7</f>
        <v>1.006280694202587</v>
      </c>
      <c r="H7" s="41">
        <v>1</v>
      </c>
      <c r="I7" s="42" t="s">
        <v>57</v>
      </c>
      <c r="J7" s="43">
        <v>1</v>
      </c>
    </row>
    <row r="8" spans="1:13">
      <c r="A8" s="37">
        <v>2025</v>
      </c>
      <c r="B8" s="38">
        <f>'Income Sheet'!U20</f>
        <v>1117.1750578514368</v>
      </c>
      <c r="C8" s="39">
        <f>D7</f>
        <v>3516.69</v>
      </c>
      <c r="D8" s="39">
        <f>'Income Sheet'!U57</f>
        <v>9318.4026669644354</v>
      </c>
      <c r="E8" s="44">
        <f>B8*$J$7</f>
        <v>1117.1750578514368</v>
      </c>
      <c r="F8" s="40">
        <f t="shared" si="0"/>
        <v>0</v>
      </c>
      <c r="G8" s="40">
        <f t="shared" si="2"/>
        <v>1</v>
      </c>
    </row>
    <row r="9" spans="1:13">
      <c r="A9" s="37">
        <v>2026</v>
      </c>
      <c r="B9" s="38">
        <f>'Income Sheet'!V20</f>
        <v>1161.2052027130653</v>
      </c>
      <c r="C9" s="39">
        <f t="shared" ref="C9:C12" si="3">D8</f>
        <v>9318.4026669644354</v>
      </c>
      <c r="D9" s="39">
        <f>'Income Sheet'!V57</f>
        <v>9685.6598988744518</v>
      </c>
      <c r="E9" s="44">
        <f t="shared" ref="E9:E12" si="4">B9*$J$7</f>
        <v>1161.2052027130653</v>
      </c>
      <c r="F9" s="40">
        <f t="shared" si="0"/>
        <v>0</v>
      </c>
      <c r="G9" s="40">
        <f t="shared" si="2"/>
        <v>1</v>
      </c>
    </row>
    <row r="10" spans="1:13">
      <c r="A10" s="37">
        <v>2027</v>
      </c>
      <c r="B10" s="38">
        <f>'Income Sheet'!W20</f>
        <v>1220.523624237107</v>
      </c>
      <c r="C10" s="39">
        <f t="shared" si="3"/>
        <v>9685.6598988744518</v>
      </c>
      <c r="D10" s="39">
        <f>'Income Sheet'!W57</f>
        <v>10180.437269211392</v>
      </c>
      <c r="E10" s="44">
        <f t="shared" si="4"/>
        <v>1220.523624237107</v>
      </c>
      <c r="F10" s="40">
        <f t="shared" si="0"/>
        <v>0</v>
      </c>
      <c r="G10" s="40">
        <f t="shared" si="2"/>
        <v>1</v>
      </c>
    </row>
    <row r="11" spans="1:13">
      <c r="A11" s="37">
        <v>2028</v>
      </c>
      <c r="B11" s="38">
        <f>'Income Sheet'!X20</f>
        <v>1272.178868058978</v>
      </c>
      <c r="C11" s="39">
        <f t="shared" si="3"/>
        <v>10180.437269211392</v>
      </c>
      <c r="D11" s="39">
        <f>'Income Sheet'!X57</f>
        <v>10611.295762166061</v>
      </c>
      <c r="E11" s="44">
        <f t="shared" si="4"/>
        <v>1272.178868058978</v>
      </c>
      <c r="F11" s="40">
        <f t="shared" si="0"/>
        <v>0</v>
      </c>
      <c r="G11" s="40">
        <f t="shared" si="2"/>
        <v>1</v>
      </c>
    </row>
    <row r="12" spans="1:13">
      <c r="A12" s="37">
        <v>2029</v>
      </c>
      <c r="B12" s="38">
        <f>'Income Sheet'!Y20</f>
        <v>1318.5997832222131</v>
      </c>
      <c r="C12" s="39">
        <f t="shared" si="3"/>
        <v>10611.295762166061</v>
      </c>
      <c r="D12" s="39">
        <f>'Income Sheet'!Y57</f>
        <v>10998.49450655259</v>
      </c>
      <c r="E12" s="44">
        <f t="shared" si="4"/>
        <v>1318.5997832222131</v>
      </c>
      <c r="F12" s="40">
        <f t="shared" si="0"/>
        <v>0</v>
      </c>
      <c r="G12" s="40">
        <f t="shared" si="2"/>
        <v>1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357F-F07E-457E-A588-41643F8D63F4}">
  <dimension ref="B2:P65"/>
  <sheetViews>
    <sheetView topLeftCell="A22" zoomScale="64" zoomScaleNormal="64" workbookViewId="0">
      <selection activeCell="K20" sqref="K20"/>
    </sheetView>
  </sheetViews>
  <sheetFormatPr baseColWidth="10" defaultColWidth="8.83203125" defaultRowHeight="15"/>
  <cols>
    <col min="1" max="1" width="8.5" customWidth="1"/>
    <col min="2" max="2" width="16.5" hidden="1" customWidth="1"/>
    <col min="3" max="3" width="42.1640625" customWidth="1"/>
    <col min="4" max="4" width="10.5" customWidth="1"/>
    <col min="5" max="5" width="37.5" customWidth="1"/>
    <col min="6" max="6" width="20.5" customWidth="1"/>
    <col min="7" max="8" width="16.1640625" customWidth="1"/>
    <col min="9" max="9" width="17.1640625" customWidth="1"/>
    <col min="10" max="10" width="20" customWidth="1"/>
  </cols>
  <sheetData>
    <row r="2" spans="3:10" ht="16" thickBot="1"/>
    <row r="3" spans="3:10" ht="20" thickBot="1">
      <c r="C3" s="116" t="s">
        <v>127</v>
      </c>
      <c r="D3" s="117"/>
      <c r="E3" s="117"/>
      <c r="F3" s="117"/>
      <c r="G3" s="117"/>
      <c r="H3" s="118"/>
    </row>
    <row r="4" spans="3:10" ht="17" thickBot="1">
      <c r="C4" s="119" t="s">
        <v>128</v>
      </c>
      <c r="D4" s="119" t="s">
        <v>129</v>
      </c>
      <c r="E4" s="119" t="s">
        <v>130</v>
      </c>
      <c r="H4" s="56"/>
    </row>
    <row r="5" spans="3:10">
      <c r="C5" s="120" t="s">
        <v>131</v>
      </c>
      <c r="D5" s="121" t="s">
        <v>132</v>
      </c>
      <c r="E5" s="122">
        <v>12820000000</v>
      </c>
      <c r="H5" s="56"/>
    </row>
    <row r="6" spans="3:10">
      <c r="C6" s="58" t="s">
        <v>133</v>
      </c>
      <c r="D6" s="42" t="s">
        <v>134</v>
      </c>
      <c r="E6" s="123">
        <v>8730000000</v>
      </c>
      <c r="H6" s="56"/>
    </row>
    <row r="7" spans="3:10" ht="16" thickBot="1">
      <c r="C7" s="58" t="s">
        <v>135</v>
      </c>
      <c r="D7" s="42" t="s">
        <v>136</v>
      </c>
      <c r="E7" s="123">
        <v>635370000</v>
      </c>
      <c r="H7" s="56"/>
    </row>
    <row r="8" spans="3:10">
      <c r="C8" s="124" t="s">
        <v>137</v>
      </c>
      <c r="D8" s="125"/>
      <c r="E8" s="126">
        <f>AVERAGE(E5:E7)</f>
        <v>7395123333.333333</v>
      </c>
      <c r="H8" s="56"/>
    </row>
    <row r="9" spans="3:10" ht="16" thickBot="1">
      <c r="C9" s="127" t="s">
        <v>138</v>
      </c>
      <c r="D9" s="128"/>
      <c r="E9" s="129">
        <f>MEDIAN(E5:E7)</f>
        <v>8730000000</v>
      </c>
      <c r="H9" s="56"/>
    </row>
    <row r="10" spans="3:10">
      <c r="C10" s="130" t="s">
        <v>170</v>
      </c>
      <c r="H10" s="56"/>
    </row>
    <row r="11" spans="3:10">
      <c r="C11" s="58"/>
      <c r="H11" s="56"/>
    </row>
    <row r="12" spans="3:10">
      <c r="C12" s="58"/>
      <c r="H12" s="56"/>
    </row>
    <row r="13" spans="3:10" ht="20" thickBot="1">
      <c r="C13" s="131" t="s">
        <v>139</v>
      </c>
      <c r="H13" s="56"/>
      <c r="I13" s="25"/>
      <c r="J13" s="25"/>
    </row>
    <row r="14" spans="3:10" ht="17" thickBot="1">
      <c r="C14" s="119" t="s">
        <v>128</v>
      </c>
      <c r="D14" s="119" t="s">
        <v>129</v>
      </c>
      <c r="E14" s="119" t="s">
        <v>140</v>
      </c>
      <c r="F14" s="119" t="s">
        <v>141</v>
      </c>
      <c r="G14" s="119" t="s">
        <v>142</v>
      </c>
      <c r="H14" s="119" t="s">
        <v>173</v>
      </c>
    </row>
    <row r="15" spans="3:10">
      <c r="C15" s="120" t="s">
        <v>131</v>
      </c>
      <c r="D15" s="121" t="s">
        <v>132</v>
      </c>
      <c r="E15" s="132">
        <v>23.45</v>
      </c>
      <c r="F15" s="132">
        <v>21.28</v>
      </c>
      <c r="G15" s="132">
        <f>E15*((1-(G27))*H27)</f>
        <v>0</v>
      </c>
      <c r="H15" s="133">
        <v>1.56</v>
      </c>
    </row>
    <row r="16" spans="3:10">
      <c r="C16" s="58" t="s">
        <v>133</v>
      </c>
      <c r="D16" s="42" t="s">
        <v>134</v>
      </c>
      <c r="E16" s="132">
        <v>489</v>
      </c>
      <c r="F16" s="132">
        <v>26.04</v>
      </c>
      <c r="G16" s="132">
        <f>E16*((1-(G28))*H28)</f>
        <v>0.45770400000000011</v>
      </c>
      <c r="H16" s="133">
        <v>1.91</v>
      </c>
    </row>
    <row r="17" spans="3:11" ht="16" thickBot="1">
      <c r="C17" s="58" t="s">
        <v>135</v>
      </c>
      <c r="D17" s="42" t="s">
        <v>136</v>
      </c>
      <c r="E17" s="134">
        <v>60.94</v>
      </c>
      <c r="F17" s="134">
        <v>78.739999999999995</v>
      </c>
      <c r="G17" s="134">
        <f t="shared" ref="G17" si="0">E17*((1-(G29))*H29)</f>
        <v>-1.1017708239999999</v>
      </c>
      <c r="H17" s="135">
        <v>0.62</v>
      </c>
    </row>
    <row r="18" spans="3:11">
      <c r="C18" s="136" t="s">
        <v>137</v>
      </c>
      <c r="D18" s="137"/>
      <c r="E18" s="137">
        <f>AVERAGE(E15:E17)</f>
        <v>191.13000000000002</v>
      </c>
      <c r="F18" s="137">
        <f t="shared" ref="F18:H18" si="1">AVERAGE(F15:F17)</f>
        <v>42.02</v>
      </c>
      <c r="G18" s="137">
        <f t="shared" si="1"/>
        <v>-0.21468894133333327</v>
      </c>
      <c r="H18" s="138">
        <f t="shared" si="1"/>
        <v>1.3633333333333333</v>
      </c>
    </row>
    <row r="19" spans="3:11" ht="16" thickBot="1">
      <c r="C19" s="136" t="s">
        <v>143</v>
      </c>
      <c r="D19" s="137"/>
      <c r="E19" s="137">
        <f>MEDIAN(E15:E17)</f>
        <v>60.94</v>
      </c>
      <c r="F19" s="137">
        <f t="shared" ref="F19:H19" si="2">MEDIAN(F15:F17)</f>
        <v>26.04</v>
      </c>
      <c r="G19" s="137">
        <f t="shared" si="2"/>
        <v>0</v>
      </c>
      <c r="H19" s="138">
        <f t="shared" si="2"/>
        <v>1.56</v>
      </c>
    </row>
    <row r="20" spans="3:11" ht="16" thickBot="1">
      <c r="C20" s="139" t="s">
        <v>174</v>
      </c>
      <c r="D20" s="140"/>
      <c r="E20" s="141" t="s">
        <v>144</v>
      </c>
      <c r="F20" s="141" t="s">
        <v>145</v>
      </c>
      <c r="G20" s="141" t="s">
        <v>145</v>
      </c>
      <c r="H20" s="142" t="s">
        <v>145</v>
      </c>
    </row>
    <row r="21" spans="3:11" ht="81" thickBot="1">
      <c r="C21" s="143" t="s">
        <v>146</v>
      </c>
      <c r="D21" s="144"/>
      <c r="E21" s="145" t="s">
        <v>147</v>
      </c>
      <c r="F21" s="145" t="s">
        <v>148</v>
      </c>
      <c r="G21" s="146" t="s">
        <v>149</v>
      </c>
      <c r="H21" s="147" t="s">
        <v>150</v>
      </c>
    </row>
    <row r="22" spans="3:11" ht="14.5" customHeight="1" thickBot="1">
      <c r="C22" s="148" t="s">
        <v>170</v>
      </c>
      <c r="D22" s="149"/>
      <c r="E22" s="149"/>
      <c r="F22" s="149"/>
      <c r="G22" s="149"/>
      <c r="H22" s="150"/>
    </row>
    <row r="23" spans="3:11">
      <c r="C23" s="151"/>
    </row>
    <row r="24" spans="3:11" ht="16" thickBot="1"/>
    <row r="25" spans="3:11" ht="20" thickBot="1">
      <c r="C25" s="116" t="s">
        <v>151</v>
      </c>
      <c r="D25" s="117"/>
      <c r="E25" s="117"/>
      <c r="F25" s="117"/>
      <c r="G25" s="117"/>
      <c r="H25" s="117"/>
      <c r="I25" s="117"/>
      <c r="J25" s="117"/>
      <c r="K25" s="118"/>
    </row>
    <row r="26" spans="3:11" ht="49" thickBot="1">
      <c r="C26" s="119" t="s">
        <v>128</v>
      </c>
      <c r="D26" s="119" t="s">
        <v>129</v>
      </c>
      <c r="E26" s="119" t="s">
        <v>152</v>
      </c>
      <c r="F26" s="119" t="s">
        <v>153</v>
      </c>
      <c r="G26" s="119" t="s">
        <v>154</v>
      </c>
      <c r="H26" s="119" t="s">
        <v>155</v>
      </c>
      <c r="I26" s="119" t="s">
        <v>156</v>
      </c>
      <c r="J26" s="119" t="s">
        <v>157</v>
      </c>
      <c r="K26" s="152" t="s">
        <v>158</v>
      </c>
    </row>
    <row r="27" spans="3:11">
      <c r="C27" s="120" t="s">
        <v>131</v>
      </c>
      <c r="D27" s="121" t="s">
        <v>132</v>
      </c>
      <c r="E27" s="284">
        <v>1.07</v>
      </c>
      <c r="F27" s="284">
        <v>1.091</v>
      </c>
      <c r="G27" s="153">
        <f>'Dividend Calculation'!G8</f>
        <v>1</v>
      </c>
      <c r="H27" s="154">
        <v>7.1599999999999997E-2</v>
      </c>
      <c r="I27" s="284">
        <v>7917623</v>
      </c>
      <c r="J27" s="155">
        <v>480400000</v>
      </c>
      <c r="K27" s="287">
        <v>17.07</v>
      </c>
    </row>
    <row r="28" spans="3:11">
      <c r="C28" s="58" t="s">
        <v>133</v>
      </c>
      <c r="D28" s="42" t="s">
        <v>134</v>
      </c>
      <c r="E28" s="285">
        <v>3.89</v>
      </c>
      <c r="F28" s="285">
        <v>1.242</v>
      </c>
      <c r="G28" s="156">
        <v>0.82</v>
      </c>
      <c r="H28" s="157">
        <v>5.1999999999999998E-3</v>
      </c>
      <c r="I28" s="285">
        <v>4897600</v>
      </c>
      <c r="J28" s="158">
        <v>230840000</v>
      </c>
      <c r="K28" s="288">
        <v>19.920000000000002</v>
      </c>
    </row>
    <row r="29" spans="3:11" ht="16" thickBot="1">
      <c r="C29" s="58" t="s">
        <v>135</v>
      </c>
      <c r="D29" s="42" t="s">
        <v>136</v>
      </c>
      <c r="E29" s="286">
        <v>-0.98</v>
      </c>
      <c r="F29" s="286">
        <v>-0.02</v>
      </c>
      <c r="G29" s="159">
        <v>0.41299999999999998</v>
      </c>
      <c r="H29" s="160">
        <v>-3.0800000000000001E-2</v>
      </c>
      <c r="I29" s="286">
        <v>1040700</v>
      </c>
      <c r="J29" s="161">
        <v>726130000</v>
      </c>
      <c r="K29" s="289">
        <v>1.41</v>
      </c>
    </row>
    <row r="30" spans="3:11">
      <c r="C30" s="130" t="s">
        <v>170</v>
      </c>
      <c r="K30" s="56"/>
    </row>
    <row r="31" spans="3:11" ht="16" thickBot="1">
      <c r="C31" s="162" t="s">
        <v>171</v>
      </c>
      <c r="D31" s="63"/>
      <c r="E31" s="63"/>
      <c r="F31" s="63"/>
      <c r="G31" s="63"/>
      <c r="H31" s="63"/>
      <c r="I31" s="63"/>
      <c r="J31" s="63"/>
      <c r="K31" s="57"/>
    </row>
    <row r="32" spans="3:11">
      <c r="C32" s="151"/>
    </row>
    <row r="33" spans="2:16">
      <c r="B33" s="294" t="s">
        <v>159</v>
      </c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</row>
    <row r="35" spans="2:16" ht="16" thickBot="1"/>
    <row r="36" spans="2:16" ht="20" thickBot="1">
      <c r="C36" s="296" t="s">
        <v>160</v>
      </c>
      <c r="D36" s="297"/>
      <c r="E36" s="117"/>
      <c r="F36" s="117"/>
      <c r="G36" s="117"/>
      <c r="H36" s="117"/>
      <c r="I36" s="117"/>
      <c r="J36" s="117"/>
      <c r="K36" s="149"/>
      <c r="L36" s="117"/>
      <c r="M36" s="117"/>
      <c r="N36" s="117"/>
      <c r="O36" s="118"/>
    </row>
    <row r="37" spans="2:16" ht="51" thickBot="1">
      <c r="C37" s="119" t="s">
        <v>128</v>
      </c>
      <c r="D37" s="119" t="s">
        <v>129</v>
      </c>
      <c r="E37" s="119" t="s">
        <v>152</v>
      </c>
      <c r="F37" s="119" t="s">
        <v>153</v>
      </c>
      <c r="G37" s="119" t="s">
        <v>154</v>
      </c>
      <c r="H37" s="119" t="s">
        <v>155</v>
      </c>
      <c r="I37" s="119" t="s">
        <v>156</v>
      </c>
      <c r="J37" s="119" t="s">
        <v>157</v>
      </c>
      <c r="K37" s="163" t="s">
        <v>158</v>
      </c>
      <c r="L37" s="119" t="s">
        <v>161</v>
      </c>
      <c r="M37" s="119" t="s">
        <v>162</v>
      </c>
      <c r="N37" s="119" t="s">
        <v>79</v>
      </c>
      <c r="O37" s="119" t="s">
        <v>163</v>
      </c>
    </row>
    <row r="38" spans="2:16" ht="16" thickBot="1">
      <c r="C38" s="120" t="s">
        <v>131</v>
      </c>
      <c r="D38" s="121" t="s">
        <v>132</v>
      </c>
      <c r="E38" s="284">
        <f>E27</f>
        <v>1.07</v>
      </c>
      <c r="F38" s="284">
        <f t="shared" ref="F38:K38" si="3">F27</f>
        <v>1.091</v>
      </c>
      <c r="G38" s="175">
        <f>G27</f>
        <v>1</v>
      </c>
      <c r="H38" s="174">
        <f>H27</f>
        <v>7.1599999999999997E-2</v>
      </c>
      <c r="I38" s="284">
        <f t="shared" si="3"/>
        <v>7917623</v>
      </c>
      <c r="J38" s="284">
        <f t="shared" si="3"/>
        <v>480400000</v>
      </c>
      <c r="K38" s="284">
        <f t="shared" si="3"/>
        <v>17.07</v>
      </c>
      <c r="L38" s="277">
        <v>0.06</v>
      </c>
      <c r="M38" s="164">
        <f>((1-(G27))*H27)</f>
        <v>0</v>
      </c>
      <c r="N38" s="165">
        <f>1-G38</f>
        <v>0</v>
      </c>
      <c r="O38" s="164">
        <v>0.03</v>
      </c>
    </row>
    <row r="39" spans="2:16" ht="16" thickBot="1">
      <c r="C39" s="58" t="s">
        <v>133</v>
      </c>
      <c r="D39" s="42" t="s">
        <v>134</v>
      </c>
      <c r="E39" s="284">
        <f t="shared" ref="E39:K39" si="4">E28</f>
        <v>3.89</v>
      </c>
      <c r="F39" s="284">
        <f t="shared" si="4"/>
        <v>1.242</v>
      </c>
      <c r="G39" s="175">
        <f>G28</f>
        <v>0.82</v>
      </c>
      <c r="H39" s="174">
        <f>H28</f>
        <v>5.1999999999999998E-3</v>
      </c>
      <c r="I39" s="284">
        <f t="shared" si="4"/>
        <v>4897600</v>
      </c>
      <c r="J39" s="284">
        <f t="shared" si="4"/>
        <v>230840000</v>
      </c>
      <c r="K39" s="284">
        <f t="shared" si="4"/>
        <v>19.920000000000002</v>
      </c>
      <c r="L39" s="164">
        <v>7.5999999999999998E-2</v>
      </c>
      <c r="M39" s="164">
        <f>((1-(G28))*H28)</f>
        <v>9.360000000000002E-4</v>
      </c>
      <c r="N39" s="165">
        <f t="shared" ref="N39:N40" si="5">1-G39</f>
        <v>0.18000000000000005</v>
      </c>
      <c r="O39" s="164">
        <v>0.03</v>
      </c>
    </row>
    <row r="40" spans="2:16" ht="16" thickBot="1">
      <c r="C40" s="58" t="s">
        <v>135</v>
      </c>
      <c r="D40" s="42" t="s">
        <v>136</v>
      </c>
      <c r="E40" s="284">
        <f t="shared" ref="E40:K40" si="6">E29</f>
        <v>-0.98</v>
      </c>
      <c r="F40" s="284">
        <f t="shared" si="6"/>
        <v>-0.02</v>
      </c>
      <c r="G40" s="175">
        <f t="shared" si="6"/>
        <v>0.41299999999999998</v>
      </c>
      <c r="H40" s="174">
        <f>H29</f>
        <v>-3.0800000000000001E-2</v>
      </c>
      <c r="I40" s="284">
        <f t="shared" si="6"/>
        <v>1040700</v>
      </c>
      <c r="J40" s="284">
        <f t="shared" si="6"/>
        <v>726130000</v>
      </c>
      <c r="K40" s="284">
        <f t="shared" si="6"/>
        <v>1.41</v>
      </c>
      <c r="L40" s="166">
        <v>7.8700000000000006E-2</v>
      </c>
      <c r="M40" s="166">
        <f>((1-(G29))*H29)</f>
        <v>-1.8079600000000001E-2</v>
      </c>
      <c r="N40" s="167">
        <f t="shared" si="5"/>
        <v>0.58699999999999997</v>
      </c>
      <c r="O40" s="166">
        <v>0.03</v>
      </c>
    </row>
    <row r="41" spans="2:16">
      <c r="C41" s="130" t="s">
        <v>170</v>
      </c>
      <c r="O41" s="56"/>
    </row>
    <row r="42" spans="2:16" ht="16" thickBot="1">
      <c r="C42" s="162" t="s">
        <v>171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57"/>
    </row>
    <row r="45" spans="2:16" ht="16" thickBot="1">
      <c r="K45" s="25"/>
    </row>
    <row r="46" spans="2:16" ht="20" thickBot="1">
      <c r="C46" s="116" t="s">
        <v>127</v>
      </c>
      <c r="D46" s="117"/>
      <c r="E46" s="117"/>
      <c r="F46" s="117"/>
      <c r="G46" s="118"/>
    </row>
    <row r="47" spans="2:16" ht="17" thickBot="1">
      <c r="C47" s="119" t="s">
        <v>128</v>
      </c>
      <c r="D47" s="119" t="s">
        <v>129</v>
      </c>
      <c r="E47" s="119" t="s">
        <v>130</v>
      </c>
      <c r="G47" s="56"/>
    </row>
    <row r="48" spans="2:16" ht="16" thickBot="1">
      <c r="C48" s="120" t="s">
        <v>131</v>
      </c>
      <c r="D48" s="121" t="s">
        <v>132</v>
      </c>
      <c r="E48" s="122">
        <f>E5</f>
        <v>12820000000</v>
      </c>
      <c r="G48" s="56"/>
    </row>
    <row r="49" spans="3:9" ht="16" thickBot="1">
      <c r="C49" s="58" t="s">
        <v>133</v>
      </c>
      <c r="D49" s="42" t="s">
        <v>134</v>
      </c>
      <c r="E49" s="122">
        <f t="shared" ref="E49:E52" si="7">E6</f>
        <v>8730000000</v>
      </c>
      <c r="G49" s="56"/>
    </row>
    <row r="50" spans="3:9" ht="16" thickBot="1">
      <c r="C50" s="58" t="s">
        <v>135</v>
      </c>
      <c r="D50" s="42" t="s">
        <v>136</v>
      </c>
      <c r="E50" s="122">
        <f t="shared" si="7"/>
        <v>635370000</v>
      </c>
      <c r="G50" s="56"/>
    </row>
    <row r="51" spans="3:9" ht="16" thickBot="1">
      <c r="C51" s="124" t="s">
        <v>137</v>
      </c>
      <c r="D51" s="125"/>
      <c r="E51" s="122">
        <f t="shared" si="7"/>
        <v>7395123333.333333</v>
      </c>
      <c r="G51" s="56"/>
    </row>
    <row r="52" spans="3:9" ht="16" thickBot="1">
      <c r="C52" s="127" t="s">
        <v>138</v>
      </c>
      <c r="D52" s="128"/>
      <c r="E52" s="122">
        <f t="shared" si="7"/>
        <v>8730000000</v>
      </c>
      <c r="G52" s="56"/>
    </row>
    <row r="53" spans="3:9">
      <c r="C53" s="130" t="s">
        <v>170</v>
      </c>
      <c r="G53" s="56"/>
    </row>
    <row r="54" spans="3:9">
      <c r="C54" s="58"/>
      <c r="G54" s="56"/>
    </row>
    <row r="55" spans="3:9">
      <c r="C55" s="58"/>
      <c r="G55" s="56"/>
    </row>
    <row r="56" spans="3:9" ht="20" thickBot="1">
      <c r="C56" s="131" t="s">
        <v>139</v>
      </c>
      <c r="G56" s="56"/>
    </row>
    <row r="57" spans="3:9" ht="65" thickBot="1">
      <c r="C57" s="119" t="s">
        <v>128</v>
      </c>
      <c r="D57" s="119" t="s">
        <v>129</v>
      </c>
      <c r="E57" s="119" t="s">
        <v>164</v>
      </c>
      <c r="F57" s="119" t="s">
        <v>165</v>
      </c>
      <c r="G57" s="119" t="s">
        <v>166</v>
      </c>
      <c r="I57" s="94"/>
    </row>
    <row r="58" spans="3:9">
      <c r="C58" s="120" t="s">
        <v>131</v>
      </c>
      <c r="D58" s="121" t="s">
        <v>132</v>
      </c>
      <c r="E58" s="132">
        <f>(((1-N38))*(1+M38)/(L38-M38))</f>
        <v>16.666666666666668</v>
      </c>
      <c r="F58" s="94">
        <f>((1-N38)*(1+M38))*((1-((1+M38)/(1+L38))^10)/(L38-M38))+(((1-N38)*(1+M38)^10*(1+O38))/(L38-O38))*1/(1+L38)^10</f>
        <v>26.531641058833756</v>
      </c>
      <c r="G58" s="168">
        <f>((1-N38)*((10/2)*(M38-O38)+(1+O38)))/(L38-O38)</f>
        <v>29.333333333333336</v>
      </c>
    </row>
    <row r="59" spans="3:9">
      <c r="C59" s="58" t="s">
        <v>133</v>
      </c>
      <c r="D59" s="42" t="s">
        <v>134</v>
      </c>
      <c r="E59" s="132">
        <f t="shared" ref="E59:E60" si="8">(((1-N39))*(1+M39)/(L39-M39))</f>
        <v>10.934236384951509</v>
      </c>
      <c r="F59" s="94">
        <f t="shared" ref="F59:F60" si="9">((1-N39)*(1+M39))*((1-((1+M39)/(1+L39))^10)/(L39-M39))+(((1-N39)*(1+M39)^10*(1+O39))/(L39-O39))*1/(1+L39)^10</f>
        <v>14.537801345518616</v>
      </c>
      <c r="G59" s="168">
        <f t="shared" ref="G59:G60" si="10">((1-N39)*((10/2)*(M39-O39)+(1+O39)))/(L39-O39)</f>
        <v>15.770382608695654</v>
      </c>
    </row>
    <row r="60" spans="3:9" ht="16" thickBot="1">
      <c r="C60" s="58" t="s">
        <v>135</v>
      </c>
      <c r="D60" s="42" t="s">
        <v>136</v>
      </c>
      <c r="E60" s="132">
        <f t="shared" si="8"/>
        <v>4.1902748637109477</v>
      </c>
      <c r="F60" s="94">
        <f t="shared" si="9"/>
        <v>5.9655057015705975</v>
      </c>
      <c r="G60" s="168">
        <f t="shared" si="10"/>
        <v>6.6962140862422999</v>
      </c>
    </row>
    <row r="61" spans="3:9">
      <c r="C61" s="169" t="s">
        <v>137</v>
      </c>
      <c r="D61" s="170"/>
      <c r="E61" s="170">
        <f>AVERAGE(E58:E60)</f>
        <v>10.597059305109708</v>
      </c>
      <c r="F61" s="170">
        <f t="shared" ref="F61:G61" si="11">AVERAGE(F58:F60)</f>
        <v>15.678316035307658</v>
      </c>
      <c r="G61" s="171">
        <f t="shared" si="11"/>
        <v>17.266643342757096</v>
      </c>
    </row>
    <row r="62" spans="3:9" ht="16" thickBot="1">
      <c r="C62" s="136" t="s">
        <v>143</v>
      </c>
      <c r="D62" s="137"/>
      <c r="E62" s="137">
        <f>MEDIAN(E58:E60)</f>
        <v>10.934236384951509</v>
      </c>
      <c r="F62" s="137">
        <f t="shared" ref="F62:G62" si="12">MEDIAN(F58:F60)</f>
        <v>14.537801345518616</v>
      </c>
      <c r="G62" s="138">
        <f t="shared" si="12"/>
        <v>15.770382608695654</v>
      </c>
    </row>
    <row r="63" spans="3:9" ht="16" thickBot="1">
      <c r="C63" s="139" t="s">
        <v>172</v>
      </c>
      <c r="D63" s="140"/>
      <c r="E63" s="141" t="s">
        <v>144</v>
      </c>
      <c r="F63" s="141" t="s">
        <v>144</v>
      </c>
      <c r="G63" s="142" t="s">
        <v>144</v>
      </c>
    </row>
    <row r="64" spans="3:9" ht="81" thickBot="1">
      <c r="C64" s="143" t="s">
        <v>146</v>
      </c>
      <c r="D64" s="144"/>
      <c r="E64" s="172" t="s">
        <v>167</v>
      </c>
      <c r="F64" s="172" t="s">
        <v>168</v>
      </c>
      <c r="G64" s="173" t="s">
        <v>169</v>
      </c>
    </row>
    <row r="65" spans="3:7" ht="16" thickBot="1">
      <c r="C65" s="148" t="s">
        <v>170</v>
      </c>
      <c r="D65" s="149"/>
      <c r="E65" s="149"/>
      <c r="F65" s="63"/>
      <c r="G65" s="57"/>
    </row>
  </sheetData>
  <mergeCells count="2">
    <mergeCell ref="B33:P33"/>
    <mergeCell ref="C36:D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9504-A511-4476-9DBC-92D4C8BF7C6F}">
  <dimension ref="A1:U97"/>
  <sheetViews>
    <sheetView topLeftCell="C7" zoomScale="93" zoomScaleNormal="72" workbookViewId="0">
      <selection activeCell="H28" sqref="H28"/>
    </sheetView>
  </sheetViews>
  <sheetFormatPr baseColWidth="10" defaultColWidth="8.83203125" defaultRowHeight="15"/>
  <cols>
    <col min="1" max="1" width="5" bestFit="1" customWidth="1"/>
    <col min="2" max="2" width="25.33203125" bestFit="1" customWidth="1"/>
    <col min="3" max="3" width="5.5" bestFit="1" customWidth="1"/>
    <col min="4" max="4" width="21.83203125" bestFit="1" customWidth="1"/>
    <col min="5" max="5" width="10.1640625" bestFit="1" customWidth="1"/>
    <col min="8" max="8" width="10.83203125" bestFit="1" customWidth="1"/>
    <col min="9" max="9" width="19.83203125" bestFit="1" customWidth="1"/>
    <col min="10" max="10" width="21.83203125" bestFit="1" customWidth="1"/>
    <col min="12" max="12" width="27.33203125" bestFit="1" customWidth="1"/>
    <col min="13" max="13" width="17.5" bestFit="1" customWidth="1"/>
    <col min="14" max="14" width="12.6640625" bestFit="1" customWidth="1"/>
    <col min="15" max="15" width="13.6640625" bestFit="1" customWidth="1"/>
    <col min="16" max="16" width="12.6640625" bestFit="1" customWidth="1"/>
    <col min="17" max="17" width="12.1640625" bestFit="1" customWidth="1"/>
    <col min="18" max="21" width="12.6640625" bestFit="1" customWidth="1"/>
  </cols>
  <sheetData>
    <row r="1" spans="1:18" ht="16" thickBot="1">
      <c r="A1" s="52" t="s">
        <v>74</v>
      </c>
      <c r="B1" s="53" t="s">
        <v>84</v>
      </c>
      <c r="C1" s="53" t="s">
        <v>85</v>
      </c>
      <c r="D1" s="54" t="s">
        <v>86</v>
      </c>
      <c r="I1" s="65" t="s">
        <v>88</v>
      </c>
      <c r="J1" s="66" t="s">
        <v>86</v>
      </c>
    </row>
    <row r="2" spans="1:18">
      <c r="A2" s="58">
        <v>2000</v>
      </c>
      <c r="B2">
        <v>387.6</v>
      </c>
      <c r="C2" s="59">
        <v>71.474999999999994</v>
      </c>
      <c r="D2" s="60">
        <f>B2*$C$26/C2</f>
        <v>752.01720881427093</v>
      </c>
      <c r="I2" s="84">
        <v>1037818</v>
      </c>
      <c r="J2" s="85">
        <f>D2</f>
        <v>752.01720881427093</v>
      </c>
    </row>
    <row r="3" spans="1:18">
      <c r="A3" s="58">
        <v>2001</v>
      </c>
      <c r="B3">
        <v>625.79999999999995</v>
      </c>
      <c r="C3" s="59">
        <v>74.625</v>
      </c>
      <c r="D3" s="60">
        <f t="shared" ref="D3:D26" si="0">B3*$C$26/C3</f>
        <v>1162.9187939698493</v>
      </c>
      <c r="E3" s="51"/>
      <c r="I3" s="84">
        <v>1416147</v>
      </c>
      <c r="J3" s="85">
        <f>D3</f>
        <v>1162.9187939698493</v>
      </c>
    </row>
    <row r="4" spans="1:18">
      <c r="A4" s="58">
        <v>2002</v>
      </c>
      <c r="B4">
        <v>855.8</v>
      </c>
      <c r="C4" s="59">
        <v>76.849999999999994</v>
      </c>
      <c r="D4" s="60">
        <f t="shared" si="0"/>
        <v>1544.2819128171764</v>
      </c>
      <c r="F4" s="51"/>
      <c r="I4" s="84">
        <v>1475047</v>
      </c>
      <c r="J4" s="85">
        <f t="shared" ref="J4:J26" si="1">D4</f>
        <v>1544.2819128171764</v>
      </c>
      <c r="M4" t="s">
        <v>89</v>
      </c>
    </row>
    <row r="5" spans="1:18" ht="16" thickBot="1">
      <c r="A5" s="58">
        <v>2003</v>
      </c>
      <c r="B5">
        <v>972.1</v>
      </c>
      <c r="C5" s="59">
        <v>78.949999999999989</v>
      </c>
      <c r="D5" s="60">
        <f t="shared" si="0"/>
        <v>1707.4853388220399</v>
      </c>
      <c r="I5" s="84">
        <v>1519528</v>
      </c>
      <c r="J5" s="85">
        <f t="shared" si="1"/>
        <v>1707.4853388220399</v>
      </c>
    </row>
    <row r="6" spans="1:18">
      <c r="A6" s="58">
        <v>2004</v>
      </c>
      <c r="B6">
        <v>1032.4000000000001</v>
      </c>
      <c r="C6" s="59">
        <v>80.8</v>
      </c>
      <c r="D6" s="60">
        <f t="shared" si="0"/>
        <v>1771.882054455446</v>
      </c>
      <c r="I6" s="84">
        <v>1582030</v>
      </c>
      <c r="J6" s="85">
        <f t="shared" si="1"/>
        <v>1771.882054455446</v>
      </c>
      <c r="M6" s="97" t="s">
        <v>90</v>
      </c>
      <c r="N6" s="97"/>
    </row>
    <row r="7" spans="1:18">
      <c r="A7" s="58">
        <v>2005</v>
      </c>
      <c r="B7">
        <v>1380.5</v>
      </c>
      <c r="C7" s="59">
        <v>82.974999999999994</v>
      </c>
      <c r="D7" s="60">
        <f t="shared" si="0"/>
        <v>2307.2110575474544</v>
      </c>
      <c r="I7" s="84">
        <v>1629954</v>
      </c>
      <c r="J7" s="85">
        <f t="shared" si="1"/>
        <v>2307.2110575474544</v>
      </c>
      <c r="M7" s="32" t="s">
        <v>91</v>
      </c>
      <c r="N7" s="32">
        <v>0.9589507604140427</v>
      </c>
    </row>
    <row r="8" spans="1:18">
      <c r="A8" s="58">
        <v>2006</v>
      </c>
      <c r="B8">
        <v>1651.7</v>
      </c>
      <c r="C8" s="59">
        <v>85.924999999999997</v>
      </c>
      <c r="D8" s="60">
        <f t="shared" si="0"/>
        <v>2665.690980506256</v>
      </c>
      <c r="I8" s="84">
        <v>1672660</v>
      </c>
      <c r="J8" s="85">
        <f t="shared" si="1"/>
        <v>2665.690980506256</v>
      </c>
      <c r="M8" s="32" t="s">
        <v>92</v>
      </c>
      <c r="N8" s="32">
        <v>0.91958656089867064</v>
      </c>
    </row>
    <row r="9" spans="1:18">
      <c r="A9" s="58">
        <v>2007</v>
      </c>
      <c r="B9">
        <v>1886.1</v>
      </c>
      <c r="C9" s="59">
        <v>87.924999999999997</v>
      </c>
      <c r="D9" s="60">
        <f t="shared" si="0"/>
        <v>2974.7502701165768</v>
      </c>
      <c r="I9" s="84">
        <v>1745241</v>
      </c>
      <c r="J9" s="85">
        <f t="shared" si="1"/>
        <v>2974.7502701165768</v>
      </c>
      <c r="M9" s="32" t="s">
        <v>93</v>
      </c>
      <c r="N9" s="32">
        <v>0.91609032441600424</v>
      </c>
    </row>
    <row r="10" spans="1:18">
      <c r="A10" s="58">
        <v>2008</v>
      </c>
      <c r="B10">
        <v>2378.9</v>
      </c>
      <c r="C10" s="59">
        <v>91.75</v>
      </c>
      <c r="D10" s="60">
        <f t="shared" si="0"/>
        <v>3595.5744686648504</v>
      </c>
      <c r="I10" s="84">
        <v>1790517</v>
      </c>
      <c r="J10" s="85">
        <f t="shared" si="1"/>
        <v>3595.5744686648504</v>
      </c>
      <c r="M10" s="32" t="s">
        <v>94</v>
      </c>
      <c r="N10" s="32">
        <v>815.10066765772171</v>
      </c>
    </row>
    <row r="11" spans="1:18" ht="16" thickBot="1">
      <c r="A11" s="58">
        <v>2009</v>
      </c>
      <c r="B11">
        <v>3013.5</v>
      </c>
      <c r="C11" s="59">
        <v>93.375</v>
      </c>
      <c r="D11" s="60">
        <f t="shared" si="0"/>
        <v>4475.4710843373496</v>
      </c>
      <c r="I11" s="84">
        <v>1825693</v>
      </c>
      <c r="J11" s="85">
        <f t="shared" si="1"/>
        <v>4475.4710843373496</v>
      </c>
      <c r="M11" s="95" t="s">
        <v>95</v>
      </c>
      <c r="N11" s="95">
        <v>25</v>
      </c>
    </row>
    <row r="12" spans="1:18">
      <c r="A12" s="58">
        <v>2010</v>
      </c>
      <c r="B12">
        <v>2989.4</v>
      </c>
      <c r="C12" s="59">
        <v>96.1</v>
      </c>
      <c r="D12" s="60">
        <f t="shared" si="0"/>
        <v>4313.7881893860567</v>
      </c>
      <c r="I12" s="84">
        <v>1869858</v>
      </c>
      <c r="J12" s="85">
        <f t="shared" si="1"/>
        <v>4313.7881893860567</v>
      </c>
    </row>
    <row r="13" spans="1:18" ht="16" thickBot="1">
      <c r="A13" s="58">
        <v>2011</v>
      </c>
      <c r="B13">
        <v>3096.2</v>
      </c>
      <c r="C13" s="59">
        <v>99.275000000000006</v>
      </c>
      <c r="D13" s="60">
        <f t="shared" si="0"/>
        <v>4325.011684714178</v>
      </c>
      <c r="I13" s="84">
        <v>1921941</v>
      </c>
      <c r="J13" s="85">
        <f t="shared" si="1"/>
        <v>4325.011684714178</v>
      </c>
      <c r="M13" t="s">
        <v>96</v>
      </c>
    </row>
    <row r="14" spans="1:18">
      <c r="A14" s="58">
        <v>2012</v>
      </c>
      <c r="B14">
        <v>3345.6</v>
      </c>
      <c r="C14" s="59">
        <v>101.02500000000001</v>
      </c>
      <c r="D14" s="60">
        <f t="shared" si="0"/>
        <v>4592.4383073496656</v>
      </c>
      <c r="I14" s="84">
        <v>1994764</v>
      </c>
      <c r="J14" s="85">
        <f t="shared" si="1"/>
        <v>4592.4383073496656</v>
      </c>
      <c r="M14" s="96"/>
      <c r="N14" s="96" t="s">
        <v>101</v>
      </c>
      <c r="O14" s="96" t="s">
        <v>102</v>
      </c>
      <c r="P14" s="96" t="s">
        <v>103</v>
      </c>
      <c r="Q14" s="96" t="s">
        <v>104</v>
      </c>
      <c r="R14" s="96" t="s">
        <v>105</v>
      </c>
    </row>
    <row r="15" spans="1:18">
      <c r="A15" s="58">
        <v>2013</v>
      </c>
      <c r="B15">
        <v>3484.1</v>
      </c>
      <c r="C15" s="59">
        <v>103.5</v>
      </c>
      <c r="D15" s="60">
        <f t="shared" si="0"/>
        <v>4668.1890579710143</v>
      </c>
      <c r="I15" s="84">
        <v>2039027</v>
      </c>
      <c r="J15" s="85">
        <f t="shared" si="1"/>
        <v>4668.1890579710143</v>
      </c>
      <c r="M15" s="32" t="s">
        <v>97</v>
      </c>
      <c r="N15" s="32">
        <v>1</v>
      </c>
      <c r="O15" s="32">
        <v>174748844.69057137</v>
      </c>
      <c r="P15" s="32">
        <v>174748844.69057137</v>
      </c>
      <c r="Q15" s="32">
        <v>263.02184233182214</v>
      </c>
      <c r="R15" s="32">
        <v>4.4089268686973654E-14</v>
      </c>
    </row>
    <row r="16" spans="1:18">
      <c r="A16" s="58">
        <v>2014</v>
      </c>
      <c r="B16">
        <v>3913.5</v>
      </c>
      <c r="C16" s="59">
        <v>106.075</v>
      </c>
      <c r="D16" s="60">
        <f t="shared" si="0"/>
        <v>5116.2348574122088</v>
      </c>
      <c r="I16" s="84">
        <v>2091528</v>
      </c>
      <c r="J16" s="85">
        <f t="shared" si="1"/>
        <v>5116.2348574122088</v>
      </c>
      <c r="M16" s="32" t="s">
        <v>98</v>
      </c>
      <c r="N16" s="32">
        <v>23</v>
      </c>
      <c r="O16" s="32">
        <v>15280949.263569465</v>
      </c>
      <c r="P16" s="32">
        <v>664389.0984160637</v>
      </c>
      <c r="Q16" s="32"/>
      <c r="R16" s="32"/>
    </row>
    <row r="17" spans="1:21" ht="16" thickBot="1">
      <c r="A17" s="58">
        <v>2015</v>
      </c>
      <c r="B17">
        <v>4200.5</v>
      </c>
      <c r="C17" s="59">
        <v>107.675</v>
      </c>
      <c r="D17" s="60">
        <f t="shared" si="0"/>
        <v>5409.8382865103322</v>
      </c>
      <c r="I17" s="84">
        <v>2140476</v>
      </c>
      <c r="J17" s="85">
        <f t="shared" si="1"/>
        <v>5409.8382865103322</v>
      </c>
      <c r="M17" s="95" t="s">
        <v>99</v>
      </c>
      <c r="N17" s="95">
        <v>24</v>
      </c>
      <c r="O17" s="95">
        <v>190029793.95414084</v>
      </c>
      <c r="P17" s="95"/>
      <c r="Q17" s="95"/>
      <c r="R17" s="95"/>
    </row>
    <row r="18" spans="1:21" ht="16" thickBot="1">
      <c r="A18" s="58">
        <v>2016</v>
      </c>
      <c r="B18">
        <v>5017.7</v>
      </c>
      <c r="C18" s="59">
        <v>109.05</v>
      </c>
      <c r="D18" s="60">
        <f t="shared" si="0"/>
        <v>6380.8303301237966</v>
      </c>
      <c r="I18" s="84">
        <v>2198144</v>
      </c>
      <c r="J18" s="85">
        <f t="shared" si="1"/>
        <v>6380.8303301237966</v>
      </c>
    </row>
    <row r="19" spans="1:21">
      <c r="A19" s="58">
        <v>2017</v>
      </c>
      <c r="B19">
        <v>5122.1000000000004</v>
      </c>
      <c r="C19" s="59">
        <v>111.175</v>
      </c>
      <c r="D19" s="60">
        <f t="shared" si="0"/>
        <v>6389.0912300427271</v>
      </c>
      <c r="I19" s="84">
        <v>2250465</v>
      </c>
      <c r="J19" s="85">
        <f t="shared" si="1"/>
        <v>6389.0912300427271</v>
      </c>
      <c r="M19" s="96"/>
      <c r="N19" s="96" t="s">
        <v>106</v>
      </c>
      <c r="O19" s="96" t="s">
        <v>94</v>
      </c>
      <c r="P19" s="96" t="s">
        <v>107</v>
      </c>
      <c r="Q19" s="96" t="s">
        <v>108</v>
      </c>
      <c r="R19" s="96" t="s">
        <v>109</v>
      </c>
      <c r="S19" s="96" t="s">
        <v>110</v>
      </c>
      <c r="T19" s="96" t="s">
        <v>111</v>
      </c>
      <c r="U19" s="96" t="s">
        <v>112</v>
      </c>
    </row>
    <row r="20" spans="1:21" ht="16" thickBot="1">
      <c r="A20" s="58">
        <v>2018</v>
      </c>
      <c r="B20">
        <v>5541.4</v>
      </c>
      <c r="C20" s="59">
        <v>113.3</v>
      </c>
      <c r="D20" s="60">
        <f t="shared" si="0"/>
        <v>6782.4681818181825</v>
      </c>
      <c r="I20" s="84">
        <v>2313275</v>
      </c>
      <c r="J20" s="85">
        <f t="shared" si="1"/>
        <v>6782.4681818181825</v>
      </c>
      <c r="M20" s="32" t="s">
        <v>100</v>
      </c>
      <c r="N20" s="32">
        <v>-8078.0726409875597</v>
      </c>
      <c r="O20" s="32">
        <v>820.81866639659529</v>
      </c>
      <c r="P20" s="32">
        <v>-9.8414826217956328</v>
      </c>
      <c r="Q20" s="32">
        <v>1.0325671208001011E-9</v>
      </c>
      <c r="R20" s="32">
        <v>-9776.0654220028919</v>
      </c>
      <c r="S20" s="32">
        <v>-6380.0798599722284</v>
      </c>
      <c r="T20" s="32">
        <v>-9776.0654220028919</v>
      </c>
      <c r="U20" s="32">
        <v>-6380.0798599722284</v>
      </c>
    </row>
    <row r="21" spans="1:21" ht="16" thickBot="1">
      <c r="A21" s="58">
        <v>2019</v>
      </c>
      <c r="B21">
        <v>6133.7</v>
      </c>
      <c r="C21" s="59">
        <v>115.125</v>
      </c>
      <c r="D21" s="60">
        <f t="shared" si="0"/>
        <v>7388.4112703583069</v>
      </c>
      <c r="E21" s="92" t="s">
        <v>87</v>
      </c>
      <c r="G21" s="298" t="s">
        <v>122</v>
      </c>
      <c r="H21" s="79" t="s">
        <v>115</v>
      </c>
      <c r="I21" s="84">
        <v>2358070</v>
      </c>
      <c r="J21" s="85">
        <f t="shared" si="1"/>
        <v>7388.4112703583069</v>
      </c>
      <c r="M21" s="95" t="s">
        <v>113</v>
      </c>
      <c r="N21" s="95">
        <v>6.607106363107693E-3</v>
      </c>
      <c r="O21" s="95">
        <v>4.0739471481186578E-4</v>
      </c>
      <c r="P21" s="95">
        <v>16.217948154184679</v>
      </c>
      <c r="Q21" s="95">
        <v>4.4089268686973654E-14</v>
      </c>
      <c r="R21" s="95">
        <v>5.7643461858676286E-3</v>
      </c>
      <c r="S21" s="95">
        <v>7.4498665403477573E-3</v>
      </c>
      <c r="T21" s="95">
        <v>5.7643461858676286E-3</v>
      </c>
      <c r="U21" s="95">
        <v>7.4498665403477573E-3</v>
      </c>
    </row>
    <row r="22" spans="1:21">
      <c r="A22" s="58">
        <v>2020</v>
      </c>
      <c r="B22">
        <v>6831.8</v>
      </c>
      <c r="C22" s="59">
        <v>116.1</v>
      </c>
      <c r="D22" s="60">
        <f t="shared" si="0"/>
        <v>8160.2055555555571</v>
      </c>
      <c r="E22" s="77">
        <f>C22/C21-1</f>
        <v>8.4690553745927488E-3</v>
      </c>
      <c r="G22" s="299"/>
      <c r="H22" s="80">
        <f t="shared" ref="H22:H26" si="2">I22/I21-1</f>
        <v>-1.9548189833211049E-2</v>
      </c>
      <c r="I22" s="84">
        <v>2311974</v>
      </c>
      <c r="J22" s="85">
        <f t="shared" si="1"/>
        <v>8160.2055555555571</v>
      </c>
    </row>
    <row r="23" spans="1:21">
      <c r="A23" s="58">
        <v>2021</v>
      </c>
      <c r="B23">
        <v>8754.1</v>
      </c>
      <c r="C23" s="59">
        <v>119.425</v>
      </c>
      <c r="D23" s="60">
        <f t="shared" si="0"/>
        <v>10165.164894285117</v>
      </c>
      <c r="E23" s="77">
        <f t="shared" ref="E23:E26" si="3">C23/C22-1</f>
        <v>2.8639104220499645E-2</v>
      </c>
      <c r="G23" s="299"/>
      <c r="H23" s="80">
        <f t="shared" si="2"/>
        <v>5.411522793941459E-2</v>
      </c>
      <c r="I23" s="84">
        <v>2437087</v>
      </c>
      <c r="J23" s="85">
        <f t="shared" si="1"/>
        <v>10165.164894285117</v>
      </c>
    </row>
    <row r="24" spans="1:21">
      <c r="A24" s="58">
        <v>2022</v>
      </c>
      <c r="B24">
        <v>9340.2000000000007</v>
      </c>
      <c r="C24" s="59">
        <v>127.3</v>
      </c>
      <c r="D24" s="60">
        <f t="shared" si="0"/>
        <v>10174.801531814612</v>
      </c>
      <c r="E24" s="77">
        <f t="shared" si="3"/>
        <v>6.5940967134184625E-2</v>
      </c>
      <c r="G24" s="299"/>
      <c r="H24" s="80">
        <f t="shared" si="2"/>
        <v>4.1419941101815461E-2</v>
      </c>
      <c r="I24" s="84">
        <v>2538031</v>
      </c>
      <c r="J24" s="85">
        <f t="shared" si="1"/>
        <v>10174.801531814612</v>
      </c>
    </row>
    <row r="25" spans="1:21" ht="16" thickBot="1">
      <c r="A25" s="58">
        <v>2023</v>
      </c>
      <c r="B25">
        <v>8169</v>
      </c>
      <c r="C25" s="59">
        <v>134.42500000000001</v>
      </c>
      <c r="D25" s="60">
        <f t="shared" si="0"/>
        <v>8427.2722707829653</v>
      </c>
      <c r="E25" s="77">
        <f t="shared" si="3"/>
        <v>5.5970149253731449E-2</v>
      </c>
      <c r="G25" s="299"/>
      <c r="H25" s="80">
        <f t="shared" si="2"/>
        <v>2.0557274517135626E-2</v>
      </c>
      <c r="I25" s="84">
        <v>2590206</v>
      </c>
      <c r="J25" s="85">
        <f t="shared" si="1"/>
        <v>8427.2722707829653</v>
      </c>
    </row>
    <row r="26" spans="1:21" ht="16" thickBot="1">
      <c r="A26" s="58">
        <v>2024</v>
      </c>
      <c r="B26">
        <v>8967.4</v>
      </c>
      <c r="C26" s="59">
        <v>138.67500000000001</v>
      </c>
      <c r="D26" s="56">
        <f t="shared" si="0"/>
        <v>8967.4</v>
      </c>
      <c r="E26" s="78">
        <f t="shared" si="3"/>
        <v>3.1616142830574567E-2</v>
      </c>
      <c r="G26" s="300"/>
      <c r="H26" s="81">
        <f t="shared" si="2"/>
        <v>1.0382571888104764E-2</v>
      </c>
      <c r="I26" s="84">
        <v>2617099</v>
      </c>
      <c r="J26" s="85">
        <f t="shared" si="1"/>
        <v>8967.4</v>
      </c>
      <c r="K26" s="89" t="s">
        <v>114</v>
      </c>
      <c r="L26" s="98" t="s">
        <v>84</v>
      </c>
      <c r="M26" s="61"/>
      <c r="N26" s="61"/>
      <c r="O26" s="61"/>
      <c r="P26" s="61"/>
      <c r="Q26" s="61"/>
      <c r="R26" s="61"/>
      <c r="S26" s="61"/>
      <c r="T26" s="61"/>
      <c r="U26" s="61"/>
    </row>
    <row r="27" spans="1:21" ht="16" thickBot="1">
      <c r="A27" s="58">
        <v>2025</v>
      </c>
      <c r="B27" s="61"/>
      <c r="C27" s="59"/>
      <c r="D27" s="56"/>
      <c r="E27" s="93">
        <f>AVERAGE(E22:E26)</f>
        <v>3.8127083762716604E-2</v>
      </c>
      <c r="H27" s="82">
        <f>AVERAGE(H21:H26)</f>
        <v>2.1385365122651878E-2</v>
      </c>
      <c r="I27" s="86">
        <f>I26+(I26*H27)</f>
        <v>2673066.617677127</v>
      </c>
      <c r="J27" s="85">
        <f>$N$20+($N$21*I27)</f>
        <v>9583.1628176777449</v>
      </c>
      <c r="K27" s="90">
        <f>E27</f>
        <v>3.8127083762716604E-2</v>
      </c>
      <c r="L27" s="99">
        <f>J27*(1+K27)</f>
        <v>9948.5408691390949</v>
      </c>
      <c r="M27" s="61"/>
      <c r="N27" s="61"/>
      <c r="O27" s="61"/>
      <c r="P27" s="61"/>
      <c r="Q27" s="61"/>
      <c r="R27" s="61"/>
      <c r="S27" s="61"/>
      <c r="T27" s="61"/>
      <c r="U27" s="61"/>
    </row>
    <row r="28" spans="1:21">
      <c r="A28" s="58">
        <v>2026</v>
      </c>
      <c r="B28" s="61"/>
      <c r="C28" s="49"/>
      <c r="D28" s="56"/>
      <c r="H28" s="82">
        <f>AVERAGE(H22:H27)</f>
        <v>2.1385365122651878E-2</v>
      </c>
      <c r="I28" s="86">
        <f t="shared" ref="I28:I31" si="4">I27+(I27*H28)</f>
        <v>2730231.1232933244</v>
      </c>
      <c r="J28" s="85">
        <f t="shared" ref="J28:J31" si="5">$N$20+($N$21*I28)</f>
        <v>9960.8547864784268</v>
      </c>
      <c r="K28" s="90">
        <f>E27</f>
        <v>3.8127083762716604E-2</v>
      </c>
      <c r="L28" s="99">
        <f t="shared" ref="L28:L31" si="6">J28*(1+K28)</f>
        <v>10340.633131270746</v>
      </c>
      <c r="M28" s="101"/>
      <c r="N28" s="101"/>
      <c r="O28" s="61"/>
      <c r="P28" s="61"/>
      <c r="Q28" s="61"/>
      <c r="R28" s="61"/>
      <c r="S28" s="61"/>
      <c r="T28" s="61"/>
      <c r="U28" s="61"/>
    </row>
    <row r="29" spans="1:21">
      <c r="A29" s="58">
        <v>2027</v>
      </c>
      <c r="B29" s="61"/>
      <c r="C29" s="49"/>
      <c r="D29" s="56"/>
      <c r="H29" s="82">
        <f>AVERAGE(H23:H28)</f>
        <v>2.8207624281962367E-2</v>
      </c>
      <c r="I29" s="86">
        <f t="shared" si="4"/>
        <v>2807244.4570221025</v>
      </c>
      <c r="J29" s="85">
        <f t="shared" si="5"/>
        <v>10469.690073801972</v>
      </c>
      <c r="K29" s="90">
        <f>E27</f>
        <v>3.8127083762716604E-2</v>
      </c>
      <c r="L29" s="99">
        <f t="shared" si="6"/>
        <v>10868.868824215502</v>
      </c>
      <c r="M29" s="32"/>
      <c r="N29" s="32"/>
      <c r="O29" s="61"/>
      <c r="P29" s="61"/>
      <c r="Q29" s="61"/>
      <c r="R29" s="61"/>
      <c r="S29" s="61"/>
      <c r="T29" s="61"/>
      <c r="U29" s="61"/>
    </row>
    <row r="30" spans="1:21">
      <c r="A30" s="58">
        <v>2028</v>
      </c>
      <c r="B30" s="61"/>
      <c r="C30" s="49"/>
      <c r="D30" s="56"/>
      <c r="H30" s="82">
        <f>AVERAGE(H24:H29)</f>
        <v>2.3889690339053662E-2</v>
      </c>
      <c r="I30" s="86">
        <f t="shared" si="4"/>
        <v>2874308.6578063853</v>
      </c>
      <c r="J30" s="85">
        <f t="shared" si="5"/>
        <v>10912.790381540541</v>
      </c>
      <c r="K30" s="90">
        <f>E27</f>
        <v>3.8127083762716604E-2</v>
      </c>
      <c r="L30" s="99">
        <f t="shared" si="6"/>
        <v>11328.863254502505</v>
      </c>
      <c r="M30" s="32"/>
      <c r="N30" s="32"/>
      <c r="O30" s="61"/>
      <c r="P30" s="61"/>
      <c r="Q30" s="61"/>
      <c r="R30" s="61"/>
      <c r="S30" s="61"/>
      <c r="T30" s="61"/>
      <c r="U30" s="61"/>
    </row>
    <row r="31" spans="1:21" ht="16" thickBot="1">
      <c r="A31" s="62">
        <v>2029</v>
      </c>
      <c r="B31" s="63"/>
      <c r="C31" s="64"/>
      <c r="D31" s="57"/>
      <c r="H31" s="83">
        <f>AVERAGE(H25:H30)</f>
        <v>2.0967981878593361E-2</v>
      </c>
      <c r="I31" s="87">
        <f t="shared" si="4"/>
        <v>2934577.1096567535</v>
      </c>
      <c r="J31" s="88">
        <f t="shared" si="5"/>
        <v>11310.990453255756</v>
      </c>
      <c r="K31" s="91">
        <f>E27</f>
        <v>3.8127083762716604E-2</v>
      </c>
      <c r="L31" s="100">
        <f t="shared" si="6"/>
        <v>11742.245533706326</v>
      </c>
      <c r="M31" s="32"/>
      <c r="N31" s="32"/>
      <c r="O31" s="61"/>
      <c r="P31" s="61"/>
      <c r="Q31" s="61"/>
      <c r="R31" s="61"/>
      <c r="S31" s="61"/>
      <c r="T31" s="61"/>
      <c r="U31" s="61"/>
    </row>
    <row r="32" spans="1:21">
      <c r="A32" s="48"/>
      <c r="C32" s="49"/>
      <c r="M32" s="32"/>
      <c r="N32" s="32"/>
      <c r="O32" s="61"/>
      <c r="P32" s="61"/>
      <c r="Q32" s="61"/>
      <c r="R32" s="61"/>
      <c r="S32" s="61"/>
      <c r="T32" s="61"/>
      <c r="U32" s="61"/>
    </row>
    <row r="33" spans="1:21">
      <c r="A33" s="48"/>
      <c r="C33" s="49"/>
      <c r="M33" s="32"/>
      <c r="N33" s="32"/>
      <c r="O33" s="61"/>
      <c r="P33" s="61"/>
      <c r="Q33" s="61"/>
      <c r="R33" s="61"/>
      <c r="S33" s="61"/>
      <c r="T33" s="61"/>
      <c r="U33" s="61"/>
    </row>
    <row r="34" spans="1:21">
      <c r="A34" s="48"/>
      <c r="C34" s="49"/>
      <c r="M34" s="61"/>
      <c r="N34" s="61"/>
      <c r="O34" s="61"/>
      <c r="P34" s="61"/>
      <c r="Q34" s="61"/>
      <c r="R34" s="61"/>
      <c r="S34" s="61"/>
      <c r="T34" s="61"/>
      <c r="U34" s="61"/>
    </row>
    <row r="35" spans="1:21">
      <c r="A35" s="48"/>
      <c r="C35" s="49"/>
      <c r="M35" s="61"/>
      <c r="N35" s="61"/>
      <c r="O35" s="61"/>
      <c r="P35" s="61"/>
      <c r="Q35" s="61"/>
      <c r="R35" s="61"/>
      <c r="S35" s="61"/>
      <c r="T35" s="61"/>
      <c r="U35" s="61"/>
    </row>
    <row r="36" spans="1:21">
      <c r="A36" s="48"/>
      <c r="C36" s="49"/>
      <c r="M36" s="102"/>
      <c r="N36" s="102"/>
      <c r="O36" s="102"/>
      <c r="P36" s="102"/>
      <c r="Q36" s="102"/>
      <c r="R36" s="102"/>
      <c r="S36" s="61"/>
      <c r="T36" s="61"/>
      <c r="U36" s="61"/>
    </row>
    <row r="37" spans="1:21">
      <c r="A37" s="48"/>
      <c r="C37" s="49"/>
      <c r="M37" s="32"/>
      <c r="N37" s="32"/>
      <c r="O37" s="32"/>
      <c r="P37" s="32"/>
      <c r="Q37" s="32"/>
      <c r="R37" s="32"/>
      <c r="S37" s="61"/>
      <c r="T37" s="61"/>
      <c r="U37" s="61"/>
    </row>
    <row r="38" spans="1:21">
      <c r="A38" s="48"/>
      <c r="C38" s="49"/>
      <c r="M38" s="32"/>
      <c r="N38" s="32"/>
      <c r="O38" s="32"/>
      <c r="P38" s="32"/>
      <c r="Q38" s="32"/>
      <c r="R38" s="32"/>
      <c r="S38" s="61"/>
      <c r="T38" s="61"/>
      <c r="U38" s="61"/>
    </row>
    <row r="39" spans="1:21">
      <c r="A39" s="48"/>
      <c r="C39" s="49"/>
      <c r="M39" s="32"/>
      <c r="N39" s="32"/>
      <c r="O39" s="32"/>
      <c r="P39" s="32"/>
      <c r="Q39" s="32"/>
      <c r="R39" s="32"/>
      <c r="S39" s="61"/>
      <c r="T39" s="61"/>
      <c r="U39" s="61"/>
    </row>
    <row r="40" spans="1:21">
      <c r="A40" s="48"/>
      <c r="C40" s="49"/>
      <c r="M40" s="61"/>
      <c r="N40" s="61"/>
      <c r="O40" s="61"/>
      <c r="P40" s="61"/>
      <c r="Q40" s="61"/>
      <c r="R40" s="61"/>
      <c r="S40" s="61"/>
      <c r="T40" s="61"/>
      <c r="U40" s="61"/>
    </row>
    <row r="41" spans="1:21">
      <c r="A41" s="48"/>
      <c r="C41" s="49"/>
      <c r="M41" s="102"/>
      <c r="N41" s="102"/>
      <c r="O41" s="102"/>
      <c r="P41" s="102"/>
      <c r="Q41" s="102"/>
      <c r="R41" s="102"/>
      <c r="S41" s="102"/>
      <c r="T41" s="102"/>
      <c r="U41" s="102"/>
    </row>
    <row r="42" spans="1:21">
      <c r="A42" s="48"/>
      <c r="C42" s="49"/>
      <c r="M42" s="32"/>
      <c r="N42" s="32"/>
      <c r="O42" s="32"/>
      <c r="P42" s="32"/>
      <c r="Q42" s="32"/>
      <c r="R42" s="32"/>
      <c r="S42" s="32"/>
      <c r="T42" s="32"/>
      <c r="U42" s="32"/>
    </row>
    <row r="43" spans="1:21">
      <c r="A43" s="48"/>
      <c r="C43" s="49"/>
      <c r="M43" s="32"/>
      <c r="N43" s="32"/>
      <c r="O43" s="32"/>
      <c r="P43" s="32"/>
      <c r="Q43" s="32"/>
      <c r="R43" s="32"/>
      <c r="S43" s="32"/>
      <c r="T43" s="32"/>
      <c r="U43" s="32"/>
    </row>
    <row r="44" spans="1:21">
      <c r="A44" s="48"/>
      <c r="C44" s="49"/>
    </row>
    <row r="45" spans="1:21">
      <c r="A45" s="48"/>
      <c r="C45" s="49"/>
    </row>
    <row r="46" spans="1:21">
      <c r="A46" s="48"/>
      <c r="C46" s="49"/>
    </row>
    <row r="47" spans="1:21">
      <c r="A47" s="48"/>
      <c r="C47" s="49"/>
    </row>
    <row r="48" spans="1:21">
      <c r="A48" s="48"/>
      <c r="C48" s="49"/>
    </row>
    <row r="49" spans="1:3">
      <c r="A49" s="48"/>
      <c r="C49" s="49"/>
    </row>
    <row r="50" spans="1:3">
      <c r="A50" s="48"/>
      <c r="C50" s="49"/>
    </row>
    <row r="51" spans="1:3">
      <c r="A51" s="48"/>
      <c r="C51" s="49"/>
    </row>
    <row r="52" spans="1:3">
      <c r="A52" s="48"/>
      <c r="C52" s="49"/>
    </row>
    <row r="53" spans="1:3">
      <c r="A53" s="48"/>
      <c r="C53" s="49"/>
    </row>
    <row r="54" spans="1:3">
      <c r="A54" s="48"/>
      <c r="C54" s="49"/>
    </row>
    <row r="55" spans="1:3">
      <c r="A55" s="48"/>
      <c r="C55" s="49"/>
    </row>
    <row r="56" spans="1:3">
      <c r="A56" s="48"/>
      <c r="C56" s="49"/>
    </row>
    <row r="57" spans="1:3">
      <c r="A57" s="48"/>
      <c r="C57" s="49"/>
    </row>
    <row r="58" spans="1:3">
      <c r="A58" s="48"/>
      <c r="C58" s="49"/>
    </row>
    <row r="59" spans="1:3">
      <c r="A59" s="48"/>
      <c r="C59" s="49"/>
    </row>
    <row r="60" spans="1:3">
      <c r="A60" s="48"/>
      <c r="C60" s="49"/>
    </row>
    <row r="61" spans="1:3">
      <c r="A61" s="48"/>
      <c r="C61" s="49"/>
    </row>
    <row r="62" spans="1:3">
      <c r="A62" s="48"/>
      <c r="C62" s="49"/>
    </row>
    <row r="63" spans="1:3">
      <c r="A63" s="48"/>
      <c r="C63" s="49"/>
    </row>
    <row r="64" spans="1:3">
      <c r="A64" s="48"/>
      <c r="C64" s="49"/>
    </row>
    <row r="65" spans="1:10">
      <c r="A65" s="48"/>
      <c r="C65" s="49"/>
    </row>
    <row r="66" spans="1:10">
      <c r="A66" s="48"/>
      <c r="C66" s="49"/>
    </row>
    <row r="67" spans="1:10">
      <c r="A67" s="48"/>
      <c r="C67" s="49"/>
    </row>
    <row r="68" spans="1:10">
      <c r="A68" s="48"/>
      <c r="C68" s="49"/>
    </row>
    <row r="69" spans="1:10">
      <c r="A69" s="48"/>
      <c r="C69" s="49"/>
    </row>
    <row r="70" spans="1:10">
      <c r="A70" s="48"/>
      <c r="C70" s="49"/>
    </row>
    <row r="71" spans="1:10">
      <c r="A71" s="48"/>
      <c r="C71" s="49"/>
    </row>
    <row r="72" spans="1:10">
      <c r="A72" s="48"/>
      <c r="C72" s="49"/>
    </row>
    <row r="73" spans="1:10">
      <c r="A73" s="48"/>
      <c r="C73" s="49"/>
    </row>
    <row r="74" spans="1:10">
      <c r="A74" s="48"/>
      <c r="C74" s="49"/>
      <c r="G74" s="50"/>
      <c r="H74" s="50"/>
      <c r="I74" s="50"/>
      <c r="J74" s="50"/>
    </row>
    <row r="75" spans="1:10">
      <c r="A75" s="48"/>
      <c r="C75" s="49"/>
      <c r="G75" s="50"/>
      <c r="H75" s="50"/>
      <c r="I75" s="50"/>
      <c r="J75" s="50"/>
    </row>
    <row r="76" spans="1:10">
      <c r="A76" s="48"/>
      <c r="C76" s="49"/>
      <c r="G76" s="50"/>
      <c r="H76" s="50"/>
      <c r="I76" s="50"/>
      <c r="J76" s="50"/>
    </row>
    <row r="77" spans="1:10">
      <c r="A77" s="48"/>
      <c r="C77" s="49"/>
      <c r="G77" s="50"/>
      <c r="H77" s="50"/>
      <c r="I77" s="50"/>
      <c r="J77" s="50"/>
    </row>
    <row r="78" spans="1:10">
      <c r="A78" s="48"/>
      <c r="C78" s="49"/>
      <c r="G78" s="50"/>
      <c r="H78" s="50"/>
      <c r="I78" s="50"/>
      <c r="J78" s="50"/>
    </row>
    <row r="79" spans="1:10">
      <c r="A79" s="48"/>
      <c r="C79" s="49"/>
      <c r="G79" s="50"/>
      <c r="H79" s="50"/>
      <c r="I79" s="50"/>
      <c r="J79" s="50"/>
    </row>
    <row r="80" spans="1:10">
      <c r="A80" s="48"/>
      <c r="C80" s="49"/>
      <c r="G80" s="50"/>
      <c r="H80" s="50"/>
      <c r="I80" s="50"/>
      <c r="J80" s="50"/>
    </row>
    <row r="81" spans="1:10">
      <c r="A81" s="48"/>
      <c r="C81" s="49"/>
      <c r="G81" s="50"/>
      <c r="H81" s="50"/>
      <c r="I81" s="50"/>
      <c r="J81" s="50"/>
    </row>
    <row r="82" spans="1:10">
      <c r="A82" s="48"/>
      <c r="C82" s="49"/>
      <c r="G82" s="50"/>
      <c r="H82" s="50"/>
      <c r="I82" s="50"/>
      <c r="J82" s="50"/>
    </row>
    <row r="83" spans="1:10">
      <c r="A83" s="48"/>
      <c r="C83" s="49"/>
      <c r="G83" s="50"/>
      <c r="H83" s="50"/>
      <c r="I83" s="50"/>
      <c r="J83" s="50"/>
    </row>
    <row r="84" spans="1:10">
      <c r="A84" s="48"/>
      <c r="C84" s="49"/>
      <c r="G84" s="50"/>
      <c r="H84" s="50"/>
      <c r="I84" s="50"/>
      <c r="J84" s="50"/>
    </row>
    <row r="85" spans="1:10">
      <c r="A85" s="48"/>
      <c r="C85" s="49"/>
      <c r="G85" s="50"/>
      <c r="H85" s="50"/>
      <c r="I85" s="50"/>
      <c r="J85" s="50"/>
    </row>
    <row r="86" spans="1:10">
      <c r="A86" s="48"/>
      <c r="C86" s="49"/>
      <c r="G86" s="50"/>
      <c r="H86" s="50"/>
      <c r="I86" s="50"/>
      <c r="J86" s="50"/>
    </row>
    <row r="87" spans="1:10">
      <c r="A87" s="48"/>
      <c r="C87" s="49"/>
      <c r="G87" s="50"/>
      <c r="H87" s="50"/>
      <c r="I87" s="50"/>
      <c r="J87" s="50"/>
    </row>
    <row r="88" spans="1:10">
      <c r="A88" s="48"/>
      <c r="C88" s="49"/>
      <c r="G88" s="50"/>
      <c r="H88" s="50"/>
      <c r="I88" s="50"/>
      <c r="J88" s="50"/>
    </row>
    <row r="89" spans="1:10">
      <c r="A89" s="48"/>
      <c r="C89" s="49"/>
      <c r="G89" s="50"/>
      <c r="H89" s="50"/>
      <c r="I89" s="50"/>
      <c r="J89" s="50"/>
    </row>
    <row r="90" spans="1:10">
      <c r="A90" s="48"/>
      <c r="C90" s="49"/>
      <c r="G90" s="50"/>
      <c r="H90" s="50"/>
      <c r="I90" s="50"/>
      <c r="J90" s="50"/>
    </row>
    <row r="91" spans="1:10">
      <c r="A91" s="48"/>
      <c r="C91" s="49"/>
      <c r="G91" s="50"/>
      <c r="H91" s="50"/>
      <c r="I91" s="50"/>
      <c r="J91" s="50"/>
    </row>
    <row r="92" spans="1:10">
      <c r="A92" s="48"/>
      <c r="C92" s="49"/>
      <c r="G92" s="50"/>
      <c r="H92" s="50"/>
      <c r="I92" s="50"/>
      <c r="J92" s="50"/>
    </row>
    <row r="93" spans="1:10">
      <c r="A93" s="48"/>
      <c r="C93" s="49"/>
      <c r="G93" s="50"/>
      <c r="H93" s="50"/>
      <c r="I93" s="50"/>
      <c r="J93" s="50"/>
    </row>
    <row r="94" spans="1:10">
      <c r="A94" s="48"/>
      <c r="C94" s="49"/>
      <c r="G94" s="50"/>
      <c r="H94" s="50"/>
      <c r="I94" s="50"/>
      <c r="J94" s="50"/>
    </row>
    <row r="95" spans="1:10">
      <c r="A95" s="48"/>
      <c r="G95" s="50"/>
      <c r="H95" s="50"/>
      <c r="I95" s="50"/>
      <c r="J95" s="50"/>
    </row>
    <row r="96" spans="1:10">
      <c r="A96" s="48"/>
      <c r="G96" s="50"/>
      <c r="H96" s="50"/>
      <c r="I96" s="50"/>
      <c r="J96" s="50"/>
    </row>
    <row r="97" spans="1:1">
      <c r="A97" s="48"/>
    </row>
  </sheetData>
  <mergeCells count="1">
    <mergeCell ref="G21:G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EFE7-E2D2-43AE-B6EB-30337EFF67F0}">
  <dimension ref="A1:V2791"/>
  <sheetViews>
    <sheetView topLeftCell="E8" zoomScale="76" zoomScaleNormal="70" workbookViewId="0">
      <selection activeCell="V26" sqref="V26"/>
    </sheetView>
  </sheetViews>
  <sheetFormatPr baseColWidth="10" defaultColWidth="8.83203125" defaultRowHeight="15"/>
  <cols>
    <col min="2" max="2" width="18.5" bestFit="1" customWidth="1"/>
    <col min="3" max="3" width="19.5" customWidth="1"/>
    <col min="4" max="4" width="39.33203125" customWidth="1"/>
    <col min="5" max="5" width="14.83203125" customWidth="1"/>
    <col min="6" max="6" width="16.83203125" customWidth="1"/>
    <col min="8" max="8" width="13.1640625" style="61" customWidth="1"/>
    <col min="9" max="11" width="9" bestFit="1" customWidth="1"/>
    <col min="12" max="13" width="13" bestFit="1" customWidth="1"/>
    <col min="14" max="15" width="9" bestFit="1" customWidth="1"/>
    <col min="16" max="16" width="11.5" customWidth="1"/>
    <col min="18" max="18" width="16.83203125" bestFit="1" customWidth="1"/>
    <col min="19" max="19" width="24.6640625" customWidth="1"/>
    <col min="20" max="20" width="9" bestFit="1" customWidth="1"/>
    <col min="21" max="21" width="19" customWidth="1"/>
    <col min="22" max="23" width="32.33203125" customWidth="1"/>
  </cols>
  <sheetData>
    <row r="1" spans="1:22" ht="41.5" customHeight="1">
      <c r="A1" s="301" t="s">
        <v>175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R1" s="301" t="s">
        <v>182</v>
      </c>
      <c r="S1" s="302"/>
      <c r="T1" s="302"/>
      <c r="U1" s="302"/>
      <c r="V1" s="302"/>
    </row>
    <row r="2" spans="1:22">
      <c r="H2"/>
    </row>
    <row r="3" spans="1:22">
      <c r="H3"/>
    </row>
    <row r="4" spans="1:22">
      <c r="H4"/>
    </row>
    <row r="5" spans="1:22">
      <c r="B5" s="200" t="s">
        <v>176</v>
      </c>
      <c r="C5" s="47" t="s">
        <v>177</v>
      </c>
      <c r="D5" s="47" t="s">
        <v>178</v>
      </c>
      <c r="E5" s="47" t="s">
        <v>179</v>
      </c>
      <c r="F5" s="47" t="s">
        <v>180</v>
      </c>
      <c r="H5"/>
      <c r="R5" s="47" t="s">
        <v>176</v>
      </c>
      <c r="S5" s="47" t="s">
        <v>189</v>
      </c>
      <c r="T5" s="47" t="s">
        <v>74</v>
      </c>
      <c r="U5" s="47" t="s">
        <v>183</v>
      </c>
      <c r="V5" s="47" t="s">
        <v>184</v>
      </c>
    </row>
    <row r="6" spans="1:22" ht="16" thickBot="1">
      <c r="B6" s="197">
        <v>43647</v>
      </c>
      <c r="C6" s="177">
        <v>69660.23</v>
      </c>
      <c r="E6" s="179">
        <v>27.14</v>
      </c>
      <c r="H6"/>
      <c r="R6" s="199">
        <v>41641</v>
      </c>
      <c r="S6" s="180">
        <v>4.2919999999999998</v>
      </c>
      <c r="T6">
        <v>2014</v>
      </c>
      <c r="U6">
        <v>46046.93</v>
      </c>
    </row>
    <row r="7" spans="1:22">
      <c r="B7" s="198">
        <v>43648</v>
      </c>
      <c r="C7" s="178">
        <v>69760.820000000007</v>
      </c>
      <c r="D7">
        <f>(C7/C6)-1</f>
        <v>1.4440090134644201E-3</v>
      </c>
      <c r="E7" s="179">
        <v>27.24</v>
      </c>
      <c r="F7">
        <f>(E7/E6)-1</f>
        <v>3.6845983787765491E-3</v>
      </c>
      <c r="H7" s="183" t="s">
        <v>90</v>
      </c>
      <c r="I7" s="97"/>
      <c r="J7" s="117"/>
      <c r="K7" s="117"/>
      <c r="L7" s="117"/>
      <c r="M7" s="117"/>
      <c r="N7" s="117"/>
      <c r="O7" s="117"/>
      <c r="P7" s="118"/>
      <c r="R7" s="199">
        <v>41642</v>
      </c>
      <c r="S7" s="180">
        <v>4.2919999999999998</v>
      </c>
      <c r="T7">
        <v>2015</v>
      </c>
      <c r="U7">
        <v>47788.21</v>
      </c>
      <c r="V7">
        <f>(U7/U6)-1</f>
        <v>3.7815333182906974E-2</v>
      </c>
    </row>
    <row r="8" spans="1:22">
      <c r="B8" s="198">
        <v>43649</v>
      </c>
      <c r="C8" s="178">
        <v>70065.960000000006</v>
      </c>
      <c r="D8">
        <f t="shared" ref="D8:D71" si="0">(C8/C7)-1</f>
        <v>4.3740884926524171E-3</v>
      </c>
      <c r="E8" s="179">
        <v>27.3</v>
      </c>
      <c r="F8">
        <f t="shared" ref="F8:F71" si="1">(E8/E7)-1</f>
        <v>2.2026431718062955E-3</v>
      </c>
      <c r="H8" s="184" t="s">
        <v>91</v>
      </c>
      <c r="I8" s="32">
        <v>0.49096494606027141</v>
      </c>
      <c r="J8" s="61"/>
      <c r="K8" s="61"/>
      <c r="L8" s="61"/>
      <c r="M8" s="61"/>
      <c r="N8" s="61"/>
      <c r="O8" s="61"/>
      <c r="P8" s="56"/>
      <c r="R8" s="199">
        <v>41645</v>
      </c>
      <c r="S8" s="180">
        <v>4.2919999999999998</v>
      </c>
      <c r="T8">
        <v>2016</v>
      </c>
      <c r="U8">
        <v>53353.97</v>
      </c>
      <c r="V8">
        <f t="shared" ref="V8:V16" si="2">(U8/U7)-1</f>
        <v>0.11646722068058213</v>
      </c>
    </row>
    <row r="9" spans="1:22">
      <c r="B9" s="198">
        <v>43650</v>
      </c>
      <c r="C9" s="178">
        <v>70384.08</v>
      </c>
      <c r="D9">
        <f t="shared" si="0"/>
        <v>4.5402931751736819E-3</v>
      </c>
      <c r="E9" s="179">
        <v>27.36</v>
      </c>
      <c r="F9">
        <f t="shared" si="1"/>
        <v>2.19780219780219E-3</v>
      </c>
      <c r="H9" s="184" t="s">
        <v>92</v>
      </c>
      <c r="I9" s="32">
        <v>0.2410465782599652</v>
      </c>
      <c r="J9" s="61"/>
      <c r="K9" s="61"/>
      <c r="L9" s="61"/>
      <c r="M9" s="61"/>
      <c r="N9" s="61"/>
      <c r="O9" s="61"/>
      <c r="P9" s="56"/>
      <c r="R9" s="199">
        <v>41646</v>
      </c>
      <c r="S9" s="180">
        <v>4.2919999999999998</v>
      </c>
      <c r="T9">
        <v>2017</v>
      </c>
      <c r="U9">
        <v>60007.77</v>
      </c>
      <c r="V9">
        <f t="shared" si="2"/>
        <v>0.12471049483290542</v>
      </c>
    </row>
    <row r="10" spans="1:22">
      <c r="B10" s="198">
        <v>43651</v>
      </c>
      <c r="C10" s="178">
        <v>70703.89</v>
      </c>
      <c r="D10">
        <f t="shared" si="0"/>
        <v>4.5437831964272313E-3</v>
      </c>
      <c r="E10" s="179">
        <v>27.65</v>
      </c>
      <c r="F10">
        <f t="shared" si="1"/>
        <v>1.0599415204678442E-2</v>
      </c>
      <c r="H10" s="184" t="s">
        <v>93</v>
      </c>
      <c r="I10" s="32">
        <v>0.24044566502026604</v>
      </c>
      <c r="J10" s="61"/>
      <c r="K10" s="61"/>
      <c r="L10" s="61"/>
      <c r="M10" s="61"/>
      <c r="N10" s="61"/>
      <c r="O10" s="61"/>
      <c r="P10" s="56"/>
      <c r="R10" s="199">
        <v>41647</v>
      </c>
      <c r="S10" s="180">
        <v>4.2919999999999998</v>
      </c>
      <c r="T10">
        <v>2018</v>
      </c>
      <c r="U10">
        <v>57887.91</v>
      </c>
      <c r="V10">
        <f t="shared" si="2"/>
        <v>-3.5326425227932834E-2</v>
      </c>
    </row>
    <row r="11" spans="1:22">
      <c r="B11" s="198">
        <v>43654</v>
      </c>
      <c r="C11" s="178">
        <v>69934.44</v>
      </c>
      <c r="D11">
        <f t="shared" si="0"/>
        <v>-1.0882710979551402E-2</v>
      </c>
      <c r="E11" s="179">
        <v>27.16</v>
      </c>
      <c r="F11">
        <f t="shared" si="1"/>
        <v>-1.7721518987341756E-2</v>
      </c>
      <c r="H11" s="184" t="s">
        <v>94</v>
      </c>
      <c r="I11" s="32">
        <v>1.432645182246646E-2</v>
      </c>
      <c r="J11" s="61"/>
      <c r="K11" s="61"/>
      <c r="L11" s="61"/>
      <c r="M11" s="61"/>
      <c r="N11" s="61"/>
      <c r="O11" s="61"/>
      <c r="P11" s="56"/>
      <c r="R11" s="199">
        <v>41648</v>
      </c>
      <c r="S11" s="180">
        <v>4.2919999999999998</v>
      </c>
      <c r="T11">
        <v>2019</v>
      </c>
      <c r="U11">
        <v>71813.87</v>
      </c>
      <c r="V11">
        <f t="shared" si="2"/>
        <v>0.24056767639391352</v>
      </c>
    </row>
    <row r="12" spans="1:22" ht="16" thickBot="1">
      <c r="B12" s="198">
        <v>43655</v>
      </c>
      <c r="C12" s="178">
        <v>69861.58</v>
      </c>
      <c r="D12">
        <f t="shared" si="0"/>
        <v>-1.0418328937787935E-3</v>
      </c>
      <c r="E12" s="179">
        <v>27.42</v>
      </c>
      <c r="F12">
        <f t="shared" si="1"/>
        <v>9.5729013254786111E-3</v>
      </c>
      <c r="H12" s="185" t="s">
        <v>95</v>
      </c>
      <c r="I12" s="95">
        <v>1265</v>
      </c>
      <c r="J12" s="61"/>
      <c r="K12" s="61"/>
      <c r="L12" s="61"/>
      <c r="M12" s="61"/>
      <c r="N12" s="61"/>
      <c r="O12" s="61"/>
      <c r="P12" s="56"/>
      <c r="R12" s="199">
        <v>41649</v>
      </c>
      <c r="S12" s="180">
        <v>4.2919999999999998</v>
      </c>
      <c r="T12">
        <v>2020</v>
      </c>
      <c r="U12">
        <v>74424.55</v>
      </c>
      <c r="V12">
        <f t="shared" si="2"/>
        <v>3.6353423092224446E-2</v>
      </c>
    </row>
    <row r="13" spans="1:22">
      <c r="B13" s="198">
        <v>43656</v>
      </c>
      <c r="C13" s="178">
        <v>70146.83</v>
      </c>
      <c r="D13">
        <f t="shared" si="0"/>
        <v>4.0830739871615673E-3</v>
      </c>
      <c r="E13" s="179">
        <v>27.57</v>
      </c>
      <c r="F13">
        <f t="shared" si="1"/>
        <v>5.4704595185994798E-3</v>
      </c>
      <c r="H13" s="58"/>
      <c r="I13" s="61"/>
      <c r="J13" s="61"/>
      <c r="K13" s="61"/>
      <c r="L13" s="61"/>
      <c r="M13" s="61"/>
      <c r="N13" s="61"/>
      <c r="O13" s="61"/>
      <c r="P13" s="56"/>
      <c r="R13" s="199">
        <v>41652</v>
      </c>
      <c r="S13" s="180">
        <v>4.2919999999999998</v>
      </c>
      <c r="T13">
        <v>2021</v>
      </c>
      <c r="U13">
        <v>87626.08</v>
      </c>
      <c r="V13">
        <f t="shared" si="2"/>
        <v>0.17738138826502814</v>
      </c>
    </row>
    <row r="14" spans="1:22" ht="16" thickBot="1">
      <c r="B14" s="198">
        <v>43657</v>
      </c>
      <c r="C14" s="178">
        <v>70438.19</v>
      </c>
      <c r="D14">
        <f t="shared" si="0"/>
        <v>4.1535732976101247E-3</v>
      </c>
      <c r="E14" s="179">
        <v>27.65</v>
      </c>
      <c r="F14">
        <f t="shared" si="1"/>
        <v>2.9017047515413896E-3</v>
      </c>
      <c r="H14" s="58" t="s">
        <v>96</v>
      </c>
      <c r="I14" s="61"/>
      <c r="J14" s="61"/>
      <c r="K14" s="61"/>
      <c r="L14" s="61"/>
      <c r="M14" s="61"/>
      <c r="N14" s="61"/>
      <c r="O14" s="61"/>
      <c r="P14" s="56"/>
      <c r="R14" s="199">
        <v>41653</v>
      </c>
      <c r="S14" s="180">
        <v>4.2919999999999998</v>
      </c>
      <c r="T14">
        <v>2022</v>
      </c>
      <c r="U14">
        <v>85033.52</v>
      </c>
      <c r="V14">
        <f t="shared" si="2"/>
        <v>-2.958662535172174E-2</v>
      </c>
    </row>
    <row r="15" spans="1:22">
      <c r="B15" s="198">
        <v>43658</v>
      </c>
      <c r="C15" s="178">
        <v>70262</v>
      </c>
      <c r="D15">
        <f t="shared" si="0"/>
        <v>-2.5013419566857209E-3</v>
      </c>
      <c r="E15" s="179">
        <v>27.62</v>
      </c>
      <c r="F15">
        <f t="shared" si="1"/>
        <v>-1.0849909584086381E-3</v>
      </c>
      <c r="H15" s="186"/>
      <c r="I15" s="96" t="s">
        <v>101</v>
      </c>
      <c r="J15" s="96" t="s">
        <v>102</v>
      </c>
      <c r="K15" s="96" t="s">
        <v>103</v>
      </c>
      <c r="L15" s="96" t="s">
        <v>104</v>
      </c>
      <c r="M15" s="96" t="s">
        <v>105</v>
      </c>
      <c r="N15" s="61"/>
      <c r="O15" s="61"/>
      <c r="P15" s="56"/>
      <c r="R15" s="199">
        <v>41654</v>
      </c>
      <c r="S15" s="180">
        <v>4.2919999999999998</v>
      </c>
      <c r="T15">
        <v>2023</v>
      </c>
      <c r="U15">
        <v>86796.56</v>
      </c>
      <c r="V15">
        <f t="shared" si="2"/>
        <v>2.0733470753651062E-2</v>
      </c>
    </row>
    <row r="16" spans="1:22">
      <c r="B16" s="198">
        <v>43661</v>
      </c>
      <c r="C16" s="178">
        <v>69821.009999999995</v>
      </c>
      <c r="D16">
        <f t="shared" si="0"/>
        <v>-6.2763656030286885E-3</v>
      </c>
      <c r="E16" s="179">
        <v>27.66</v>
      </c>
      <c r="F16">
        <f t="shared" si="1"/>
        <v>1.4482259232440065E-3</v>
      </c>
      <c r="H16" s="184" t="s">
        <v>97</v>
      </c>
      <c r="I16" s="32">
        <v>1</v>
      </c>
      <c r="J16" s="32">
        <v>8.2331586739866347E-2</v>
      </c>
      <c r="K16" s="32">
        <v>8.2331586739866347E-2</v>
      </c>
      <c r="L16" s="32">
        <v>401.13374499893473</v>
      </c>
      <c r="M16" s="32">
        <v>1.0348514005280125E-77</v>
      </c>
      <c r="N16" s="61"/>
      <c r="O16" s="61"/>
      <c r="P16" s="56"/>
      <c r="R16" s="199">
        <v>41655</v>
      </c>
      <c r="S16" s="180">
        <v>4.2919999999999998</v>
      </c>
      <c r="T16">
        <v>2024</v>
      </c>
      <c r="U16">
        <v>87894.32</v>
      </c>
      <c r="V16">
        <f t="shared" si="2"/>
        <v>1.2647505845853946E-2</v>
      </c>
    </row>
    <row r="17" spans="2:22">
      <c r="B17" s="198">
        <v>43662</v>
      </c>
      <c r="C17" s="178">
        <v>69713.75</v>
      </c>
      <c r="D17">
        <f t="shared" si="0"/>
        <v>-1.5362138130055047E-3</v>
      </c>
      <c r="E17" s="179">
        <v>27.7</v>
      </c>
      <c r="F17">
        <f t="shared" si="1"/>
        <v>1.4461315979754641E-3</v>
      </c>
      <c r="H17" s="184" t="s">
        <v>98</v>
      </c>
      <c r="I17" s="32">
        <v>1263</v>
      </c>
      <c r="J17" s="32">
        <v>0.25922724116049461</v>
      </c>
      <c r="K17" s="32">
        <v>2.0524722182145257E-4</v>
      </c>
      <c r="L17" s="32"/>
      <c r="M17" s="32"/>
      <c r="N17" s="61"/>
      <c r="O17" s="61"/>
      <c r="P17" s="56"/>
      <c r="R17" s="199">
        <v>41656</v>
      </c>
      <c r="S17" s="180">
        <v>4.2919999999999998</v>
      </c>
    </row>
    <row r="18" spans="2:22" ht="16" thickBot="1">
      <c r="B18" s="198">
        <v>43663</v>
      </c>
      <c r="C18" s="178">
        <v>70005.77</v>
      </c>
      <c r="D18">
        <f t="shared" si="0"/>
        <v>4.188843664270081E-3</v>
      </c>
      <c r="E18" s="179">
        <v>27.9</v>
      </c>
      <c r="F18">
        <f t="shared" si="1"/>
        <v>7.2202166064980755E-3</v>
      </c>
      <c r="H18" s="185" t="s">
        <v>99</v>
      </c>
      <c r="I18" s="95">
        <v>1264</v>
      </c>
      <c r="J18" s="95">
        <v>0.34155882790036096</v>
      </c>
      <c r="K18" s="95"/>
      <c r="L18" s="95"/>
      <c r="M18" s="95"/>
      <c r="N18" s="61"/>
      <c r="O18" s="61"/>
      <c r="P18" s="56"/>
      <c r="R18" s="199">
        <v>41659</v>
      </c>
      <c r="S18" s="180">
        <v>4.2919999999999998</v>
      </c>
      <c r="V18" s="182">
        <f>AVERAGE(V7:V16)</f>
        <v>7.01763462467411E-2</v>
      </c>
    </row>
    <row r="19" spans="2:22" ht="16" thickBot="1">
      <c r="B19" s="198">
        <v>43664</v>
      </c>
      <c r="C19" s="178">
        <v>69709.61</v>
      </c>
      <c r="D19">
        <f t="shared" si="0"/>
        <v>-4.2305084280910288E-3</v>
      </c>
      <c r="E19" s="179">
        <v>27.82</v>
      </c>
      <c r="F19">
        <f t="shared" si="1"/>
        <v>-2.8673835125447855E-3</v>
      </c>
      <c r="H19" s="58"/>
      <c r="I19" s="61"/>
      <c r="J19" s="61"/>
      <c r="K19" s="61"/>
      <c r="L19" s="61"/>
      <c r="M19" s="61"/>
      <c r="N19" s="61"/>
      <c r="O19" s="61"/>
      <c r="P19" s="56"/>
      <c r="R19" s="199">
        <v>41660</v>
      </c>
      <c r="S19" s="180">
        <v>4.2919999999999998</v>
      </c>
      <c r="U19" s="303" t="s">
        <v>185</v>
      </c>
      <c r="V19" s="304"/>
    </row>
    <row r="20" spans="2:22" ht="16" thickBot="1">
      <c r="B20" s="198">
        <v>43665</v>
      </c>
      <c r="C20" s="178">
        <v>70235.78</v>
      </c>
      <c r="D20">
        <f t="shared" si="0"/>
        <v>7.5480267354817165E-3</v>
      </c>
      <c r="E20" s="179">
        <v>27.91</v>
      </c>
      <c r="F20">
        <f t="shared" si="1"/>
        <v>3.2350826743350325E-3</v>
      </c>
      <c r="H20" s="186"/>
      <c r="I20" s="96" t="s">
        <v>106</v>
      </c>
      <c r="J20" s="96" t="s">
        <v>94</v>
      </c>
      <c r="K20" s="96" t="s">
        <v>107</v>
      </c>
      <c r="L20" s="96" t="s">
        <v>108</v>
      </c>
      <c r="M20" s="96" t="s">
        <v>109</v>
      </c>
      <c r="N20" s="96" t="s">
        <v>110</v>
      </c>
      <c r="O20" s="96" t="s">
        <v>111</v>
      </c>
      <c r="P20" s="187" t="s">
        <v>112</v>
      </c>
      <c r="R20" s="199">
        <v>41661</v>
      </c>
      <c r="S20" s="180">
        <v>4.2919999999999998</v>
      </c>
    </row>
    <row r="21" spans="2:22" ht="16" thickBot="1">
      <c r="B21" s="198">
        <v>43668</v>
      </c>
      <c r="C21" s="178">
        <v>70184</v>
      </c>
      <c r="D21">
        <f t="shared" si="0"/>
        <v>-7.3723108079670752E-4</v>
      </c>
      <c r="E21" s="179">
        <v>27.53</v>
      </c>
      <c r="F21">
        <f t="shared" si="1"/>
        <v>-1.3615191687567196E-2</v>
      </c>
      <c r="H21" s="184" t="s">
        <v>100</v>
      </c>
      <c r="I21" s="32">
        <v>-1.463389564471767E-4</v>
      </c>
      <c r="J21" s="32">
        <v>4.0300771139782724E-4</v>
      </c>
      <c r="K21" s="32">
        <v>-0.36311701316980227</v>
      </c>
      <c r="L21" s="32">
        <v>0.71657823839824419</v>
      </c>
      <c r="M21" s="32">
        <v>-9.3697723234362792E-4</v>
      </c>
      <c r="N21" s="32">
        <v>6.4429931944927441E-4</v>
      </c>
      <c r="O21" s="32">
        <v>-9.3697723234362792E-4</v>
      </c>
      <c r="P21" s="188">
        <v>6.4429931944927441E-4</v>
      </c>
      <c r="R21" s="199">
        <v>41662</v>
      </c>
      <c r="S21" s="180">
        <v>4.2919999999999998</v>
      </c>
      <c r="U21" s="195" t="s">
        <v>186</v>
      </c>
      <c r="V21" s="150"/>
    </row>
    <row r="22" spans="2:22" ht="16" thickBot="1">
      <c r="B22" s="198">
        <v>43669</v>
      </c>
      <c r="C22" s="178">
        <v>70507.28</v>
      </c>
      <c r="D22">
        <f t="shared" si="0"/>
        <v>4.6061780462782753E-3</v>
      </c>
      <c r="E22" s="179">
        <v>27.52</v>
      </c>
      <c r="F22">
        <f t="shared" si="1"/>
        <v>-3.6324010170729615E-4</v>
      </c>
      <c r="H22" s="185" t="s">
        <v>181</v>
      </c>
      <c r="I22" s="95">
        <v>0.7409926762948732</v>
      </c>
      <c r="J22" s="95">
        <v>3.6997239121326818E-2</v>
      </c>
      <c r="K22" s="95">
        <v>20.028323569358797</v>
      </c>
      <c r="L22" s="95">
        <v>1.0348514005286911E-77</v>
      </c>
      <c r="M22" s="95">
        <v>0.66840986330016317</v>
      </c>
      <c r="N22" s="95">
        <v>0.81357548928958323</v>
      </c>
      <c r="O22" s="95">
        <v>0.66840986330016317</v>
      </c>
      <c r="P22" s="189">
        <v>0.81357548928958323</v>
      </c>
      <c r="R22" s="199">
        <v>41663</v>
      </c>
      <c r="S22" s="180">
        <v>4.2919999999999998</v>
      </c>
      <c r="U22" s="58" t="s">
        <v>187</v>
      </c>
      <c r="V22" s="193">
        <f>2.71/100</f>
        <v>2.7099999999999999E-2</v>
      </c>
    </row>
    <row r="23" spans="2:22" ht="16" thickBot="1">
      <c r="B23" s="198">
        <v>43670</v>
      </c>
      <c r="C23" s="178">
        <v>71023.78</v>
      </c>
      <c r="D23">
        <f t="shared" si="0"/>
        <v>7.3254846875385748E-3</v>
      </c>
      <c r="E23" s="179">
        <v>27.87</v>
      </c>
      <c r="F23">
        <f t="shared" si="1"/>
        <v>1.2718023255813948E-2</v>
      </c>
      <c r="H23" s="190"/>
      <c r="I23" s="61"/>
      <c r="J23" s="61"/>
      <c r="K23" s="61"/>
      <c r="L23" s="61"/>
      <c r="M23" s="61"/>
      <c r="N23" s="61"/>
      <c r="O23" s="61"/>
      <c r="P23" s="56"/>
      <c r="R23" s="199">
        <v>41667</v>
      </c>
      <c r="S23" s="180">
        <v>4.2919999999999998</v>
      </c>
      <c r="U23" s="58" t="s">
        <v>181</v>
      </c>
      <c r="V23" s="56">
        <f>I24</f>
        <v>0.74099999999999999</v>
      </c>
    </row>
    <row r="24" spans="2:22" ht="16" thickBot="1">
      <c r="B24" s="198">
        <v>43671</v>
      </c>
      <c r="C24" s="178">
        <v>71432.240000000005</v>
      </c>
      <c r="D24">
        <f t="shared" si="0"/>
        <v>5.7510315559099467E-3</v>
      </c>
      <c r="E24" s="179">
        <v>28.15</v>
      </c>
      <c r="F24">
        <f t="shared" si="1"/>
        <v>1.0046645138141352E-2</v>
      </c>
      <c r="H24" s="191" t="s">
        <v>181</v>
      </c>
      <c r="I24" s="192">
        <v>0.74099999999999999</v>
      </c>
      <c r="J24" s="63"/>
      <c r="K24" s="63"/>
      <c r="L24" s="63"/>
      <c r="M24" s="63"/>
      <c r="N24" s="63"/>
      <c r="O24" s="63"/>
      <c r="P24" s="57"/>
      <c r="R24" s="199">
        <v>41668</v>
      </c>
      <c r="S24" s="180">
        <v>4.2919999999999998</v>
      </c>
      <c r="U24" s="58" t="s">
        <v>188</v>
      </c>
      <c r="V24" s="194">
        <f>4.292/100</f>
        <v>4.292E-2</v>
      </c>
    </row>
    <row r="25" spans="2:22" ht="16" thickBot="1">
      <c r="B25" s="198">
        <v>43672</v>
      </c>
      <c r="C25" s="178">
        <v>71199.360000000001</v>
      </c>
      <c r="D25">
        <f t="shared" si="0"/>
        <v>-3.2601525585647106E-3</v>
      </c>
      <c r="E25" s="179">
        <v>27.37</v>
      </c>
      <c r="F25">
        <f t="shared" si="1"/>
        <v>-2.7708703374777932E-2</v>
      </c>
      <c r="H25" s="179"/>
      <c r="R25" s="199">
        <v>41669</v>
      </c>
      <c r="S25" s="180">
        <v>4.2919999999999998</v>
      </c>
      <c r="U25" s="196" t="s">
        <v>185</v>
      </c>
      <c r="V25" s="192">
        <f>V24+(V23*V22)</f>
        <v>6.3001100000000004E-2</v>
      </c>
    </row>
    <row r="26" spans="2:22">
      <c r="B26" s="198">
        <v>43675</v>
      </c>
      <c r="C26" s="178">
        <v>71531.460000000006</v>
      </c>
      <c r="D26">
        <f t="shared" si="0"/>
        <v>4.6643677695981101E-3</v>
      </c>
      <c r="E26" s="179">
        <v>27.78</v>
      </c>
      <c r="F26">
        <f t="shared" si="1"/>
        <v>1.4979905005480409E-2</v>
      </c>
      <c r="H26" s="179"/>
      <c r="R26" s="199">
        <v>41670</v>
      </c>
      <c r="S26" s="180">
        <v>4.2919999999999998</v>
      </c>
    </row>
    <row r="27" spans="2:22">
      <c r="B27" s="198">
        <v>43676</v>
      </c>
      <c r="C27" s="178">
        <v>71706.289999999994</v>
      </c>
      <c r="D27">
        <f t="shared" si="0"/>
        <v>2.4440994214292022E-3</v>
      </c>
      <c r="E27" s="179">
        <v>28</v>
      </c>
      <c r="F27">
        <f t="shared" si="1"/>
        <v>7.9193664506838068E-3</v>
      </c>
      <c r="H27" s="179"/>
      <c r="R27" s="199">
        <v>41673</v>
      </c>
      <c r="S27" s="180">
        <v>4.2919999999999998</v>
      </c>
    </row>
    <row r="28" spans="2:22">
      <c r="B28" s="198">
        <v>43677</v>
      </c>
      <c r="C28" s="178">
        <v>71378.47</v>
      </c>
      <c r="D28">
        <f t="shared" si="0"/>
        <v>-4.5717049369029539E-3</v>
      </c>
      <c r="E28" s="179">
        <v>28.04</v>
      </c>
      <c r="F28">
        <f t="shared" si="1"/>
        <v>1.4285714285713347E-3</v>
      </c>
      <c r="H28" s="179"/>
      <c r="R28" s="199">
        <v>41674</v>
      </c>
      <c r="S28" s="180">
        <v>4.2919999999999998</v>
      </c>
    </row>
    <row r="29" spans="2:22">
      <c r="B29" s="198">
        <v>43678</v>
      </c>
      <c r="C29" s="178">
        <v>71122.679999999993</v>
      </c>
      <c r="D29">
        <f t="shared" si="0"/>
        <v>-3.5835735901877941E-3</v>
      </c>
      <c r="E29" s="179">
        <v>28.1</v>
      </c>
      <c r="F29">
        <f t="shared" si="1"/>
        <v>2.1398002853068032E-3</v>
      </c>
      <c r="H29" s="179"/>
      <c r="R29" s="199">
        <v>41675</v>
      </c>
      <c r="S29" s="180">
        <v>4.2919999999999998</v>
      </c>
    </row>
    <row r="30" spans="2:22">
      <c r="B30" s="198">
        <v>43679</v>
      </c>
      <c r="C30" s="178">
        <v>70854.820000000007</v>
      </c>
      <c r="D30">
        <f t="shared" si="0"/>
        <v>-3.7661685414551727E-3</v>
      </c>
      <c r="E30" s="179">
        <v>28.34</v>
      </c>
      <c r="F30">
        <f t="shared" si="1"/>
        <v>8.5409252669037539E-3</v>
      </c>
      <c r="H30" s="179"/>
      <c r="R30" s="199">
        <v>41676</v>
      </c>
      <c r="S30" s="180">
        <v>4.2919999999999998</v>
      </c>
    </row>
    <row r="31" spans="2:22">
      <c r="B31" s="198">
        <v>43682</v>
      </c>
      <c r="C31" s="178">
        <v>69452.95</v>
      </c>
      <c r="D31">
        <f t="shared" si="0"/>
        <v>-1.9785104245554685E-2</v>
      </c>
      <c r="E31" s="179">
        <v>27.99</v>
      </c>
      <c r="F31">
        <f t="shared" si="1"/>
        <v>-1.2350035285815131E-2</v>
      </c>
      <c r="H31" s="179"/>
      <c r="R31" s="199">
        <v>41677</v>
      </c>
      <c r="S31" s="180">
        <v>4.2919999999999998</v>
      </c>
    </row>
    <row r="32" spans="2:22">
      <c r="B32" s="198">
        <v>43683</v>
      </c>
      <c r="C32" s="178">
        <v>67754.3</v>
      </c>
      <c r="D32">
        <f t="shared" si="0"/>
        <v>-2.4457564437507573E-2</v>
      </c>
      <c r="E32" s="179">
        <v>26.98</v>
      </c>
      <c r="F32">
        <f t="shared" si="1"/>
        <v>-3.6084315827081048E-2</v>
      </c>
      <c r="H32" s="179"/>
      <c r="R32" s="199">
        <v>41680</v>
      </c>
      <c r="S32" s="180">
        <v>4.2919999999999998</v>
      </c>
    </row>
    <row r="33" spans="2:19">
      <c r="B33" s="198">
        <v>43684</v>
      </c>
      <c r="C33" s="178">
        <v>68189.8</v>
      </c>
      <c r="D33">
        <f t="shared" si="0"/>
        <v>6.4276363271409398E-3</v>
      </c>
      <c r="E33" s="179">
        <v>27.57</v>
      </c>
      <c r="F33">
        <f t="shared" si="1"/>
        <v>2.1868050407709339E-2</v>
      </c>
      <c r="H33" s="179"/>
      <c r="R33" s="199">
        <v>41681</v>
      </c>
      <c r="S33" s="180">
        <v>4.2919999999999998</v>
      </c>
    </row>
    <row r="34" spans="2:19">
      <c r="B34" s="198">
        <v>43685</v>
      </c>
      <c r="C34" s="178">
        <v>68774.03</v>
      </c>
      <c r="D34">
        <f t="shared" si="0"/>
        <v>8.5677036741564905E-3</v>
      </c>
      <c r="E34" s="179">
        <v>27.8</v>
      </c>
      <c r="F34">
        <f t="shared" si="1"/>
        <v>8.342401160681856E-3</v>
      </c>
      <c r="H34" s="179"/>
      <c r="R34" s="199">
        <v>41682</v>
      </c>
      <c r="S34" s="180">
        <v>4.2919999999999998</v>
      </c>
    </row>
    <row r="35" spans="2:19">
      <c r="B35" s="198">
        <v>43686</v>
      </c>
      <c r="C35" s="178">
        <v>68994.27</v>
      </c>
      <c r="D35">
        <f t="shared" si="0"/>
        <v>3.2023715928819474E-3</v>
      </c>
      <c r="E35" s="179">
        <v>27.7</v>
      </c>
      <c r="F35">
        <f t="shared" si="1"/>
        <v>-3.597122302158362E-3</v>
      </c>
      <c r="H35" s="179"/>
      <c r="R35" s="199">
        <v>41683</v>
      </c>
      <c r="S35" s="180">
        <v>4.2919999999999998</v>
      </c>
    </row>
    <row r="36" spans="2:19">
      <c r="B36" s="198">
        <v>43689</v>
      </c>
      <c r="C36" s="178">
        <v>69063.73</v>
      </c>
      <c r="D36">
        <f t="shared" si="0"/>
        <v>1.0067502707107323E-3</v>
      </c>
      <c r="E36" s="179">
        <v>27.98</v>
      </c>
      <c r="F36">
        <f t="shared" si="1"/>
        <v>1.0108303249097617E-2</v>
      </c>
      <c r="H36" s="179"/>
      <c r="R36" s="199">
        <v>41684</v>
      </c>
      <c r="S36" s="180">
        <v>4.2919999999999998</v>
      </c>
    </row>
    <row r="37" spans="2:19">
      <c r="B37" s="198">
        <v>43690</v>
      </c>
      <c r="C37" s="178">
        <v>68840.160000000003</v>
      </c>
      <c r="D37">
        <f t="shared" si="0"/>
        <v>-3.2371550160987805E-3</v>
      </c>
      <c r="E37" s="179">
        <v>28.13</v>
      </c>
      <c r="F37">
        <f t="shared" si="1"/>
        <v>5.3609721229448404E-3</v>
      </c>
      <c r="H37" s="179"/>
      <c r="R37" s="199">
        <v>41687</v>
      </c>
      <c r="S37" s="180">
        <v>4.2919999999999998</v>
      </c>
    </row>
    <row r="38" spans="2:19">
      <c r="B38" s="198">
        <v>43691</v>
      </c>
      <c r="C38" s="178">
        <v>69327.42</v>
      </c>
      <c r="D38">
        <f t="shared" si="0"/>
        <v>7.0781357858551441E-3</v>
      </c>
      <c r="E38" s="179">
        <v>28.19</v>
      </c>
      <c r="F38">
        <f t="shared" si="1"/>
        <v>2.1329541414860653E-3</v>
      </c>
      <c r="H38" s="179"/>
      <c r="R38" s="199">
        <v>41688</v>
      </c>
      <c r="S38" s="180">
        <v>4.2919999999999998</v>
      </c>
    </row>
    <row r="39" spans="2:19">
      <c r="B39" s="198">
        <v>43692</v>
      </c>
      <c r="C39" s="178">
        <v>67389.58</v>
      </c>
      <c r="D39">
        <f t="shared" si="0"/>
        <v>-2.7951999367638369E-2</v>
      </c>
      <c r="E39" s="179">
        <v>27.43</v>
      </c>
      <c r="F39">
        <f t="shared" si="1"/>
        <v>-2.6959914863426748E-2</v>
      </c>
      <c r="H39" s="179"/>
      <c r="R39" s="199">
        <v>41689</v>
      </c>
      <c r="S39" s="180">
        <v>4.2919999999999998</v>
      </c>
    </row>
    <row r="40" spans="2:19">
      <c r="B40" s="198">
        <v>43693</v>
      </c>
      <c r="C40" s="178">
        <v>67347.960000000006</v>
      </c>
      <c r="D40">
        <f t="shared" si="0"/>
        <v>-6.1760289943924018E-4</v>
      </c>
      <c r="E40" s="179">
        <v>27.28</v>
      </c>
      <c r="F40">
        <f t="shared" si="1"/>
        <v>-5.4684651841049314E-3</v>
      </c>
      <c r="H40" s="179"/>
      <c r="R40" s="199">
        <v>41690</v>
      </c>
      <c r="S40" s="180">
        <v>4.2919999999999998</v>
      </c>
    </row>
    <row r="41" spans="2:19">
      <c r="B41" s="198">
        <v>43696</v>
      </c>
      <c r="C41" s="178">
        <v>68035.070000000007</v>
      </c>
      <c r="D41">
        <f t="shared" si="0"/>
        <v>1.0202387718944994E-2</v>
      </c>
      <c r="E41" s="179">
        <v>27.75</v>
      </c>
      <c r="F41">
        <f t="shared" si="1"/>
        <v>1.7228739002932425E-2</v>
      </c>
      <c r="H41" s="179"/>
      <c r="R41" s="199">
        <v>41691</v>
      </c>
      <c r="S41" s="180">
        <v>4.2919999999999998</v>
      </c>
    </row>
    <row r="42" spans="2:19">
      <c r="B42" s="198">
        <v>43697</v>
      </c>
      <c r="C42" s="178">
        <v>68838.240000000005</v>
      </c>
      <c r="D42">
        <f t="shared" si="0"/>
        <v>1.1805235152988036E-2</v>
      </c>
      <c r="E42" s="179">
        <v>28.6</v>
      </c>
      <c r="F42">
        <f t="shared" si="1"/>
        <v>3.0630630630630762E-2</v>
      </c>
      <c r="H42" s="179"/>
      <c r="R42" s="199">
        <v>41694</v>
      </c>
      <c r="S42" s="180">
        <v>4.2919999999999998</v>
      </c>
    </row>
    <row r="43" spans="2:19">
      <c r="B43" s="198">
        <v>43698</v>
      </c>
      <c r="C43" s="178">
        <v>68294.899999999994</v>
      </c>
      <c r="D43">
        <f t="shared" si="0"/>
        <v>-7.8929966832390619E-3</v>
      </c>
      <c r="E43" s="179">
        <v>29.5</v>
      </c>
      <c r="F43">
        <f t="shared" si="1"/>
        <v>3.1468531468531458E-2</v>
      </c>
      <c r="H43" s="179"/>
      <c r="R43" s="199">
        <v>41695</v>
      </c>
      <c r="S43" s="180">
        <v>4.2919999999999998</v>
      </c>
    </row>
    <row r="44" spans="2:19">
      <c r="B44" s="198">
        <v>43699</v>
      </c>
      <c r="C44" s="178">
        <v>68527.600000000006</v>
      </c>
      <c r="D44">
        <f t="shared" si="0"/>
        <v>3.4072822421589155E-3</v>
      </c>
      <c r="E44" s="179">
        <v>29.19</v>
      </c>
      <c r="F44">
        <f t="shared" si="1"/>
        <v>-1.0508474576271132E-2</v>
      </c>
      <c r="H44" s="179"/>
      <c r="R44" s="199">
        <v>41696</v>
      </c>
      <c r="S44" s="180">
        <v>4.2919999999999998</v>
      </c>
    </row>
    <row r="45" spans="2:19">
      <c r="B45" s="198">
        <v>43700</v>
      </c>
      <c r="C45" s="178">
        <v>68765.740000000005</v>
      </c>
      <c r="D45">
        <f t="shared" si="0"/>
        <v>3.475096165632463E-3</v>
      </c>
      <c r="E45" s="179">
        <v>28.89</v>
      </c>
      <c r="F45">
        <f t="shared" si="1"/>
        <v>-1.0277492291880796E-2</v>
      </c>
      <c r="H45" s="179"/>
      <c r="R45" s="199">
        <v>41697</v>
      </c>
      <c r="S45" s="180">
        <v>4.2919999999999998</v>
      </c>
    </row>
    <row r="46" spans="2:19">
      <c r="B46" s="198">
        <v>43703</v>
      </c>
      <c r="C46" s="178">
        <v>67930.75</v>
      </c>
      <c r="D46">
        <f t="shared" si="0"/>
        <v>-1.2142529114061773E-2</v>
      </c>
      <c r="E46" s="179">
        <v>28.35</v>
      </c>
      <c r="F46">
        <f t="shared" si="1"/>
        <v>-1.8691588785046731E-2</v>
      </c>
      <c r="H46" s="179"/>
      <c r="R46" s="199">
        <v>41698</v>
      </c>
      <c r="S46" s="180">
        <v>4.2919999999999998</v>
      </c>
    </row>
    <row r="47" spans="2:19">
      <c r="B47" s="198">
        <v>43704</v>
      </c>
      <c r="C47" s="178">
        <v>68310.009999999995</v>
      </c>
      <c r="D47">
        <f t="shared" si="0"/>
        <v>5.5830386091717532E-3</v>
      </c>
      <c r="E47" s="179">
        <v>28.59</v>
      </c>
      <c r="F47">
        <f t="shared" si="1"/>
        <v>8.4656084656085095E-3</v>
      </c>
      <c r="H47" s="179"/>
      <c r="R47" s="199">
        <v>41701</v>
      </c>
      <c r="S47" s="180">
        <v>4.2919999999999998</v>
      </c>
    </row>
    <row r="48" spans="2:19">
      <c r="B48" s="198">
        <v>43705</v>
      </c>
      <c r="C48" s="178">
        <v>68730.38</v>
      </c>
      <c r="D48">
        <f t="shared" si="0"/>
        <v>6.1538565138552492E-3</v>
      </c>
      <c r="E48" s="179">
        <v>28.88</v>
      </c>
      <c r="F48">
        <f t="shared" si="1"/>
        <v>1.0143406785589226E-2</v>
      </c>
      <c r="H48" s="179"/>
      <c r="R48" s="199">
        <v>41702</v>
      </c>
      <c r="S48" s="180">
        <v>4.2919999999999998</v>
      </c>
    </row>
    <row r="49" spans="2:19">
      <c r="B49" s="198">
        <v>43706</v>
      </c>
      <c r="C49" s="178">
        <v>68789.63</v>
      </c>
      <c r="D49">
        <f t="shared" si="0"/>
        <v>8.6206419926670996E-4</v>
      </c>
      <c r="E49" s="179">
        <v>29.08</v>
      </c>
      <c r="F49">
        <f t="shared" si="1"/>
        <v>6.9252077562327319E-3</v>
      </c>
      <c r="H49" s="179"/>
      <c r="R49" s="199">
        <v>41703</v>
      </c>
      <c r="S49" s="180">
        <v>4.2919999999999998</v>
      </c>
    </row>
    <row r="50" spans="2:19">
      <c r="B50" s="198">
        <v>43707</v>
      </c>
      <c r="C50" s="178">
        <v>69796.97</v>
      </c>
      <c r="D50">
        <f t="shared" si="0"/>
        <v>1.4643776976267953E-2</v>
      </c>
      <c r="E50" s="179">
        <v>29.45</v>
      </c>
      <c r="F50">
        <f t="shared" si="1"/>
        <v>1.2723521320495257E-2</v>
      </c>
      <c r="H50" s="179"/>
      <c r="R50" s="199">
        <v>41704</v>
      </c>
      <c r="S50" s="180">
        <v>4.2919999999999998</v>
      </c>
    </row>
    <row r="51" spans="2:19">
      <c r="B51" s="198">
        <v>43710</v>
      </c>
      <c r="C51" s="178">
        <v>69633.13</v>
      </c>
      <c r="D51">
        <f t="shared" si="0"/>
        <v>-2.3473798361159925E-3</v>
      </c>
      <c r="E51" s="179">
        <v>29.44</v>
      </c>
      <c r="F51">
        <f t="shared" si="1"/>
        <v>-3.395585738539264E-4</v>
      </c>
      <c r="H51" s="179"/>
      <c r="R51" s="199">
        <v>41705</v>
      </c>
      <c r="S51" s="180">
        <v>4.2919999999999998</v>
      </c>
    </row>
    <row r="52" spans="2:19">
      <c r="B52" s="198">
        <v>43711</v>
      </c>
      <c r="C52" s="178">
        <v>69634.02</v>
      </c>
      <c r="D52">
        <f t="shared" si="0"/>
        <v>1.2781272362705209E-5</v>
      </c>
      <c r="E52" s="179">
        <v>29.52</v>
      </c>
      <c r="F52">
        <f t="shared" si="1"/>
        <v>2.7173913043476716E-3</v>
      </c>
      <c r="H52" s="179"/>
      <c r="R52" s="199">
        <v>41708</v>
      </c>
      <c r="S52" s="180">
        <v>4.2919999999999998</v>
      </c>
    </row>
    <row r="53" spans="2:19">
      <c r="B53" s="198">
        <v>43712</v>
      </c>
      <c r="C53" s="178">
        <v>69475.38</v>
      </c>
      <c r="D53">
        <f t="shared" si="0"/>
        <v>-2.2781967779542667E-3</v>
      </c>
      <c r="E53" s="179">
        <v>29.29</v>
      </c>
      <c r="F53">
        <f t="shared" si="1"/>
        <v>-7.7913279132791891E-3</v>
      </c>
      <c r="H53" s="179"/>
      <c r="R53" s="199">
        <v>41709</v>
      </c>
      <c r="S53" s="180">
        <v>4.2919999999999998</v>
      </c>
    </row>
    <row r="54" spans="2:19">
      <c r="B54" s="198">
        <v>43713</v>
      </c>
      <c r="C54" s="178">
        <v>70301.11</v>
      </c>
      <c r="D54">
        <f t="shared" si="0"/>
        <v>1.1885217468403875E-2</v>
      </c>
      <c r="E54" s="179">
        <v>29.12</v>
      </c>
      <c r="F54">
        <f t="shared" si="1"/>
        <v>-5.8040286787298667E-3</v>
      </c>
      <c r="H54" s="179"/>
      <c r="R54" s="199">
        <v>41710</v>
      </c>
      <c r="S54" s="180">
        <v>4.2919999999999998</v>
      </c>
    </row>
    <row r="55" spans="2:19">
      <c r="B55" s="198">
        <v>43714</v>
      </c>
      <c r="C55" s="178">
        <v>70637.990000000005</v>
      </c>
      <c r="D55">
        <f t="shared" si="0"/>
        <v>4.7919584769002821E-3</v>
      </c>
      <c r="E55" s="179">
        <v>29.5</v>
      </c>
      <c r="F55">
        <f t="shared" si="1"/>
        <v>1.3049450549450503E-2</v>
      </c>
      <c r="H55" s="179"/>
      <c r="R55" s="199">
        <v>41711</v>
      </c>
      <c r="S55" s="180">
        <v>4.2919999999999998</v>
      </c>
    </row>
    <row r="56" spans="2:19">
      <c r="B56" s="198">
        <v>43717</v>
      </c>
      <c r="C56" s="178">
        <v>70723.53</v>
      </c>
      <c r="D56">
        <f t="shared" si="0"/>
        <v>1.2109631092276363E-3</v>
      </c>
      <c r="E56" s="179">
        <v>29.33</v>
      </c>
      <c r="F56">
        <f t="shared" si="1"/>
        <v>-5.7627118644067998E-3</v>
      </c>
      <c r="H56" s="179"/>
      <c r="R56" s="199">
        <v>41712</v>
      </c>
      <c r="S56" s="180">
        <v>4.2919999999999998</v>
      </c>
    </row>
    <row r="57" spans="2:19">
      <c r="B57" s="198">
        <v>43718</v>
      </c>
      <c r="C57" s="178">
        <v>70429.13</v>
      </c>
      <c r="D57">
        <f t="shared" si="0"/>
        <v>-4.1626881463636689E-3</v>
      </c>
      <c r="E57" s="179">
        <v>28.14</v>
      </c>
      <c r="F57">
        <f t="shared" si="1"/>
        <v>-4.0572792362768451E-2</v>
      </c>
      <c r="H57" s="179"/>
      <c r="R57" s="199">
        <v>41715</v>
      </c>
      <c r="S57" s="180">
        <v>4.2919999999999998</v>
      </c>
    </row>
    <row r="58" spans="2:19">
      <c r="B58" s="198">
        <v>43719</v>
      </c>
      <c r="C58" s="178">
        <v>70707.899999999994</v>
      </c>
      <c r="D58">
        <f t="shared" si="0"/>
        <v>3.958163333836362E-3</v>
      </c>
      <c r="E58" s="179">
        <v>27.92</v>
      </c>
      <c r="F58">
        <f t="shared" si="1"/>
        <v>-7.8180525941720092E-3</v>
      </c>
      <c r="H58" s="179"/>
      <c r="R58" s="199">
        <v>41716</v>
      </c>
      <c r="S58" s="180">
        <v>4.2919999999999998</v>
      </c>
    </row>
    <row r="59" spans="2:19">
      <c r="B59" s="198">
        <v>43720</v>
      </c>
      <c r="C59" s="178">
        <v>70866</v>
      </c>
      <c r="D59">
        <f t="shared" si="0"/>
        <v>2.2359594896752544E-3</v>
      </c>
      <c r="E59" s="179">
        <v>27.86</v>
      </c>
      <c r="F59">
        <f t="shared" si="1"/>
        <v>-2.1489971346705383E-3</v>
      </c>
      <c r="H59" s="179"/>
      <c r="R59" s="199">
        <v>41717</v>
      </c>
      <c r="S59" s="180">
        <v>4.2919999999999998</v>
      </c>
    </row>
    <row r="60" spans="2:19">
      <c r="B60" s="198">
        <v>43721</v>
      </c>
      <c r="C60" s="178">
        <v>70990.47</v>
      </c>
      <c r="D60">
        <f t="shared" si="0"/>
        <v>1.7564135128269598E-3</v>
      </c>
      <c r="E60" s="179">
        <v>28</v>
      </c>
      <c r="F60">
        <f t="shared" si="1"/>
        <v>5.0251256281406143E-3</v>
      </c>
      <c r="H60" s="179"/>
      <c r="R60" s="199">
        <v>41718</v>
      </c>
      <c r="S60" s="180">
        <v>4.2919999999999998</v>
      </c>
    </row>
    <row r="61" spans="2:19">
      <c r="B61" s="198">
        <v>43724</v>
      </c>
      <c r="C61" s="178">
        <v>71044.55</v>
      </c>
      <c r="D61">
        <f t="shared" si="0"/>
        <v>7.6179239269724697E-4</v>
      </c>
      <c r="E61" s="179">
        <v>27.81</v>
      </c>
      <c r="F61">
        <f t="shared" si="1"/>
        <v>-6.7857142857142838E-3</v>
      </c>
      <c r="H61" s="179"/>
      <c r="R61" s="199">
        <v>41719</v>
      </c>
      <c r="S61" s="180">
        <v>4.2919999999999998</v>
      </c>
    </row>
    <row r="62" spans="2:19">
      <c r="B62" s="198">
        <v>43725</v>
      </c>
      <c r="C62" s="178">
        <v>71255.02</v>
      </c>
      <c r="D62">
        <f t="shared" si="0"/>
        <v>2.9625073281482894E-3</v>
      </c>
      <c r="E62" s="179">
        <v>27.9</v>
      </c>
      <c r="F62">
        <f t="shared" si="1"/>
        <v>3.2362459546926292E-3</v>
      </c>
      <c r="H62" s="179"/>
      <c r="R62" s="199">
        <v>41722</v>
      </c>
      <c r="S62" s="180">
        <v>4.2919999999999998</v>
      </c>
    </row>
    <row r="63" spans="2:19">
      <c r="B63" s="198">
        <v>43726</v>
      </c>
      <c r="C63" s="178">
        <v>71148.36</v>
      </c>
      <c r="D63">
        <f t="shared" si="0"/>
        <v>-1.4968769919649905E-3</v>
      </c>
      <c r="E63" s="179">
        <v>28.01</v>
      </c>
      <c r="F63">
        <f t="shared" si="1"/>
        <v>3.9426523297492189E-3</v>
      </c>
      <c r="H63" s="179"/>
      <c r="R63" s="199">
        <v>41723</v>
      </c>
      <c r="S63" s="180">
        <v>4.2919999999999998</v>
      </c>
    </row>
    <row r="64" spans="2:19">
      <c r="B64" s="198">
        <v>43727</v>
      </c>
      <c r="C64" s="178">
        <v>71516.600000000006</v>
      </c>
      <c r="D64">
        <f t="shared" si="0"/>
        <v>5.1756639225415402E-3</v>
      </c>
      <c r="E64" s="179">
        <v>27.96</v>
      </c>
      <c r="F64">
        <f t="shared" si="1"/>
        <v>-1.7850767583006411E-3</v>
      </c>
      <c r="H64" s="179"/>
      <c r="R64" s="199">
        <v>41724</v>
      </c>
      <c r="S64" s="180">
        <v>4.2919999999999998</v>
      </c>
    </row>
    <row r="65" spans="2:19">
      <c r="B65" s="198">
        <v>43728</v>
      </c>
      <c r="C65" s="178">
        <v>71661.100000000006</v>
      </c>
      <c r="D65">
        <f t="shared" si="0"/>
        <v>2.0205099235701685E-3</v>
      </c>
      <c r="E65" s="179">
        <v>28.22</v>
      </c>
      <c r="F65">
        <f t="shared" si="1"/>
        <v>9.2989985693847643E-3</v>
      </c>
      <c r="H65" s="179"/>
      <c r="R65" s="199">
        <v>41725</v>
      </c>
      <c r="S65" s="180">
        <v>4.2919999999999998</v>
      </c>
    </row>
    <row r="66" spans="2:19">
      <c r="B66" s="198">
        <v>43731</v>
      </c>
      <c r="C66" s="178">
        <v>71894.11</v>
      </c>
      <c r="D66">
        <f t="shared" si="0"/>
        <v>3.2515548882168233E-3</v>
      </c>
      <c r="E66" s="179">
        <v>28.33</v>
      </c>
      <c r="F66">
        <f t="shared" si="1"/>
        <v>3.8979447200566675E-3</v>
      </c>
      <c r="H66" s="179"/>
      <c r="R66" s="199">
        <v>41726</v>
      </c>
      <c r="S66" s="180">
        <v>4.2919999999999998</v>
      </c>
    </row>
    <row r="67" spans="2:19">
      <c r="B67" s="198">
        <v>43732</v>
      </c>
      <c r="C67" s="178">
        <v>71849.89</v>
      </c>
      <c r="D67">
        <f t="shared" si="0"/>
        <v>-6.1507124853488193E-4</v>
      </c>
      <c r="E67" s="179">
        <v>28.12</v>
      </c>
      <c r="F67">
        <f t="shared" si="1"/>
        <v>-7.4126367807976212E-3</v>
      </c>
      <c r="H67" s="179"/>
      <c r="R67" s="199">
        <v>41729</v>
      </c>
      <c r="S67" s="180">
        <v>4.2919999999999998</v>
      </c>
    </row>
    <row r="68" spans="2:19">
      <c r="B68" s="198">
        <v>43733</v>
      </c>
      <c r="C68" s="178">
        <v>71413.61</v>
      </c>
      <c r="D68">
        <f t="shared" si="0"/>
        <v>-6.0721039378069941E-3</v>
      </c>
      <c r="E68" s="179">
        <v>28.4</v>
      </c>
      <c r="F68">
        <f t="shared" si="1"/>
        <v>9.9573257467993059E-3</v>
      </c>
      <c r="H68" s="179"/>
      <c r="R68" s="199">
        <v>41730</v>
      </c>
      <c r="S68" s="180">
        <v>4.2919999999999998</v>
      </c>
    </row>
    <row r="69" spans="2:19">
      <c r="B69" s="198">
        <v>43734</v>
      </c>
      <c r="C69" s="178">
        <v>71117.149999999994</v>
      </c>
      <c r="D69">
        <f t="shared" si="0"/>
        <v>-4.1513095332949002E-3</v>
      </c>
      <c r="E69" s="179">
        <v>28.2</v>
      </c>
      <c r="F69">
        <f t="shared" si="1"/>
        <v>-7.0422535211267512E-3</v>
      </c>
      <c r="H69" s="179"/>
      <c r="R69" s="199">
        <v>41731</v>
      </c>
      <c r="S69" s="180">
        <v>4.2919999999999998</v>
      </c>
    </row>
    <row r="70" spans="2:19">
      <c r="B70" s="198">
        <v>43735</v>
      </c>
      <c r="C70" s="178">
        <v>71527.97</v>
      </c>
      <c r="D70">
        <f t="shared" si="0"/>
        <v>5.7766656847189068E-3</v>
      </c>
      <c r="E70" s="179">
        <v>28.12</v>
      </c>
      <c r="F70">
        <f t="shared" si="1"/>
        <v>-2.8368794326240065E-3</v>
      </c>
      <c r="H70" s="179"/>
      <c r="R70" s="199">
        <v>41732</v>
      </c>
      <c r="S70" s="180">
        <v>4.2919999999999998</v>
      </c>
    </row>
    <row r="71" spans="2:19">
      <c r="B71" s="198">
        <v>43738</v>
      </c>
      <c r="C71" s="178">
        <v>71282.55</v>
      </c>
      <c r="D71">
        <f t="shared" si="0"/>
        <v>-3.4311053424275206E-3</v>
      </c>
      <c r="E71" s="179">
        <v>28.05</v>
      </c>
      <c r="F71">
        <f t="shared" si="1"/>
        <v>-2.4893314366998265E-3</v>
      </c>
      <c r="H71" s="179"/>
      <c r="R71" s="199">
        <v>41733</v>
      </c>
      <c r="S71" s="180">
        <v>4.2919999999999998</v>
      </c>
    </row>
    <row r="72" spans="2:19">
      <c r="B72" s="198">
        <v>43739</v>
      </c>
      <c r="C72" s="178">
        <v>71832.479999999996</v>
      </c>
      <c r="D72">
        <f t="shared" ref="D72:D135" si="3">(C72/C71)-1</f>
        <v>7.7147913479524988E-3</v>
      </c>
      <c r="E72" s="179">
        <v>28.72</v>
      </c>
      <c r="F72">
        <f t="shared" ref="F72:F135" si="4">(E72/E71)-1</f>
        <v>2.3885918003565099E-2</v>
      </c>
      <c r="H72" s="179"/>
      <c r="R72" s="199">
        <v>41736</v>
      </c>
      <c r="S72" s="180">
        <v>4.2919999999999998</v>
      </c>
    </row>
    <row r="73" spans="2:19">
      <c r="B73" s="198">
        <v>43740</v>
      </c>
      <c r="C73" s="178">
        <v>70787.070000000007</v>
      </c>
      <c r="D73">
        <f t="shared" si="3"/>
        <v>-1.4553444347180977E-2</v>
      </c>
      <c r="E73" s="179">
        <v>28.3</v>
      </c>
      <c r="F73">
        <f t="shared" si="4"/>
        <v>-1.4623955431754765E-2</v>
      </c>
      <c r="H73" s="179"/>
      <c r="R73" s="199">
        <v>41737</v>
      </c>
      <c r="S73" s="180">
        <v>4.2919999999999998</v>
      </c>
    </row>
    <row r="74" spans="2:19">
      <c r="B74" s="198">
        <v>43741</v>
      </c>
      <c r="C74" s="178">
        <v>69305.62</v>
      </c>
      <c r="D74">
        <f t="shared" si="3"/>
        <v>-2.0928257095540359E-2</v>
      </c>
      <c r="E74" s="179">
        <v>27.9</v>
      </c>
      <c r="F74">
        <f t="shared" si="4"/>
        <v>-1.4134275618374659E-2</v>
      </c>
      <c r="H74" s="179"/>
      <c r="R74" s="199">
        <v>41738</v>
      </c>
      <c r="S74" s="180">
        <v>4.2919999999999998</v>
      </c>
    </row>
    <row r="75" spans="2:19">
      <c r="B75" s="198">
        <v>43742</v>
      </c>
      <c r="C75" s="178">
        <v>69570.02</v>
      </c>
      <c r="D75">
        <f t="shared" si="3"/>
        <v>3.8149864325578431E-3</v>
      </c>
      <c r="E75" s="179">
        <v>28.02</v>
      </c>
      <c r="F75">
        <f t="shared" si="4"/>
        <v>4.3010752688172893E-3</v>
      </c>
      <c r="H75" s="179"/>
      <c r="R75" s="199">
        <v>41739</v>
      </c>
      <c r="S75" s="180">
        <v>4.2919999999999998</v>
      </c>
    </row>
    <row r="76" spans="2:19">
      <c r="B76" s="198">
        <v>43745</v>
      </c>
      <c r="C76" s="178">
        <v>70093.009999999995</v>
      </c>
      <c r="D76">
        <f t="shared" si="3"/>
        <v>7.5174622631988264E-3</v>
      </c>
      <c r="E76" s="179">
        <v>28.37</v>
      </c>
      <c r="F76">
        <f t="shared" si="4"/>
        <v>1.2491077801570327E-2</v>
      </c>
      <c r="H76" s="179"/>
      <c r="R76" s="199">
        <v>41740</v>
      </c>
      <c r="S76" s="180">
        <v>4.2919999999999998</v>
      </c>
    </row>
    <row r="77" spans="2:19">
      <c r="B77" s="198">
        <v>43746</v>
      </c>
      <c r="C77" s="178">
        <v>70379.19</v>
      </c>
      <c r="D77">
        <f t="shared" si="3"/>
        <v>4.0828607588689891E-3</v>
      </c>
      <c r="E77" s="179">
        <v>28.39</v>
      </c>
      <c r="F77">
        <f t="shared" si="4"/>
        <v>7.0497003877334485E-4</v>
      </c>
      <c r="H77" s="179"/>
      <c r="R77" s="199">
        <v>41743</v>
      </c>
      <c r="S77" s="180">
        <v>4.2919999999999998</v>
      </c>
    </row>
    <row r="78" spans="2:19">
      <c r="B78" s="198">
        <v>43747</v>
      </c>
      <c r="C78" s="178">
        <v>69890.149999999994</v>
      </c>
      <c r="D78">
        <f t="shared" si="3"/>
        <v>-6.9486449048363763E-3</v>
      </c>
      <c r="E78" s="179">
        <v>28.21</v>
      </c>
      <c r="F78">
        <f t="shared" si="4"/>
        <v>-6.3402606551602458E-3</v>
      </c>
      <c r="H78" s="179"/>
      <c r="R78" s="199">
        <v>41744</v>
      </c>
      <c r="S78" s="180">
        <v>4.2919999999999998</v>
      </c>
    </row>
    <row r="79" spans="2:19">
      <c r="B79" s="198">
        <v>43748</v>
      </c>
      <c r="C79" s="178">
        <v>69856.100000000006</v>
      </c>
      <c r="D79">
        <f t="shared" si="3"/>
        <v>-4.871931166263721E-4</v>
      </c>
      <c r="E79" s="179">
        <v>28.54</v>
      </c>
      <c r="F79">
        <f t="shared" si="4"/>
        <v>1.1697979439914796E-2</v>
      </c>
      <c r="H79" s="179"/>
      <c r="R79" s="199">
        <v>41745</v>
      </c>
      <c r="S79" s="180">
        <v>4.2919999999999998</v>
      </c>
    </row>
    <row r="80" spans="2:19">
      <c r="B80" s="198">
        <v>43749</v>
      </c>
      <c r="C80" s="178">
        <v>70475.570000000007</v>
      </c>
      <c r="D80">
        <f t="shared" si="3"/>
        <v>8.8678010939631235E-3</v>
      </c>
      <c r="E80" s="179">
        <v>28.63</v>
      </c>
      <c r="F80">
        <f t="shared" si="4"/>
        <v>3.1534688156973356E-3</v>
      </c>
      <c r="H80" s="179"/>
      <c r="R80" s="199">
        <v>41746</v>
      </c>
      <c r="S80" s="180">
        <v>4.2919999999999998</v>
      </c>
    </row>
    <row r="81" spans="2:19">
      <c r="B81" s="198">
        <v>43752</v>
      </c>
      <c r="C81" s="178">
        <v>70853.429999999993</v>
      </c>
      <c r="D81">
        <f t="shared" si="3"/>
        <v>5.3615742306161174E-3</v>
      </c>
      <c r="E81" s="179">
        <v>28.65</v>
      </c>
      <c r="F81">
        <f t="shared" si="4"/>
        <v>6.9856793573164211E-4</v>
      </c>
      <c r="H81" s="179"/>
      <c r="R81" s="199">
        <v>41751</v>
      </c>
      <c r="S81" s="180">
        <v>4.2919999999999998</v>
      </c>
    </row>
    <row r="82" spans="2:19">
      <c r="B82" s="198">
        <v>43753</v>
      </c>
      <c r="C82" s="178">
        <v>70910.820000000007</v>
      </c>
      <c r="D82">
        <f t="shared" si="3"/>
        <v>8.0998195853054789E-4</v>
      </c>
      <c r="E82" s="179">
        <v>28.64</v>
      </c>
      <c r="F82">
        <f t="shared" si="4"/>
        <v>-3.490401396160081E-4</v>
      </c>
      <c r="H82" s="179"/>
      <c r="R82" s="199">
        <v>41752</v>
      </c>
      <c r="S82" s="180">
        <v>4.2919999999999998</v>
      </c>
    </row>
    <row r="83" spans="2:19">
      <c r="B83" s="198">
        <v>43754</v>
      </c>
      <c r="C83" s="178">
        <v>71748.62</v>
      </c>
      <c r="D83">
        <f t="shared" si="3"/>
        <v>1.1814840104796165E-2</v>
      </c>
      <c r="E83" s="179">
        <v>29.16</v>
      </c>
      <c r="F83">
        <f t="shared" si="4"/>
        <v>1.8156424581005526E-2</v>
      </c>
      <c r="H83" s="179"/>
      <c r="R83" s="199">
        <v>41753</v>
      </c>
      <c r="S83" s="180">
        <v>4.2919999999999998</v>
      </c>
    </row>
    <row r="84" spans="2:19">
      <c r="B84" s="198">
        <v>43755</v>
      </c>
      <c r="C84" s="178">
        <v>71207.02</v>
      </c>
      <c r="D84">
        <f t="shared" si="3"/>
        <v>-7.548577240927945E-3</v>
      </c>
      <c r="E84" s="179">
        <v>28.92</v>
      </c>
      <c r="F84">
        <f t="shared" si="4"/>
        <v>-8.2304526748970819E-3</v>
      </c>
      <c r="H84" s="179"/>
      <c r="R84" s="199">
        <v>41757</v>
      </c>
      <c r="S84" s="180">
        <v>4.2919999999999998</v>
      </c>
    </row>
    <row r="85" spans="2:19">
      <c r="B85" s="198">
        <v>43756</v>
      </c>
      <c r="C85" s="178">
        <v>70859.34</v>
      </c>
      <c r="D85">
        <f t="shared" si="3"/>
        <v>-4.8826646586250799E-3</v>
      </c>
      <c r="E85" s="179">
        <v>28.63</v>
      </c>
      <c r="F85">
        <f t="shared" si="4"/>
        <v>-1.0027662517289149E-2</v>
      </c>
      <c r="H85" s="179"/>
      <c r="R85" s="199">
        <v>41758</v>
      </c>
      <c r="S85" s="180">
        <v>4.2919999999999998</v>
      </c>
    </row>
    <row r="86" spans="2:19">
      <c r="B86" s="198">
        <v>43759</v>
      </c>
      <c r="C86" s="178">
        <v>70854.649999999994</v>
      </c>
      <c r="D86">
        <f t="shared" si="3"/>
        <v>-6.6187463783951017E-5</v>
      </c>
      <c r="E86" s="179">
        <v>28.66</v>
      </c>
      <c r="F86">
        <f t="shared" si="4"/>
        <v>1.0478519035976852E-3</v>
      </c>
      <c r="H86" s="179"/>
      <c r="R86" s="199">
        <v>41759</v>
      </c>
      <c r="S86" s="180">
        <v>4.2919999999999998</v>
      </c>
    </row>
    <row r="87" spans="2:19">
      <c r="B87" s="198">
        <v>43760</v>
      </c>
      <c r="C87" s="178">
        <v>71074.36</v>
      </c>
      <c r="D87">
        <f t="shared" si="3"/>
        <v>3.1008550603242035E-3</v>
      </c>
      <c r="E87" s="179">
        <v>28.69</v>
      </c>
      <c r="F87">
        <f t="shared" si="4"/>
        <v>1.0467550593160624E-3</v>
      </c>
      <c r="H87" s="179"/>
      <c r="R87" s="199">
        <v>41760</v>
      </c>
      <c r="S87" s="180">
        <v>4.2919999999999998</v>
      </c>
    </row>
    <row r="88" spans="2:19">
      <c r="B88" s="198">
        <v>43761</v>
      </c>
      <c r="C88" s="178">
        <v>71070.16</v>
      </c>
      <c r="D88">
        <f t="shared" si="3"/>
        <v>-5.9093040021718224E-5</v>
      </c>
      <c r="E88" s="179">
        <v>28.31</v>
      </c>
      <c r="F88">
        <f t="shared" si="4"/>
        <v>-1.3245033112582849E-2</v>
      </c>
      <c r="H88" s="179"/>
      <c r="R88" s="199">
        <v>41761</v>
      </c>
      <c r="S88" s="180">
        <v>4.2919999999999998</v>
      </c>
    </row>
    <row r="89" spans="2:19">
      <c r="B89" s="198">
        <v>43762</v>
      </c>
      <c r="C89" s="178">
        <v>71263.820000000007</v>
      </c>
      <c r="D89">
        <f t="shared" si="3"/>
        <v>2.7249129592503696E-3</v>
      </c>
      <c r="E89" s="179">
        <v>28.39</v>
      </c>
      <c r="F89">
        <f t="shared" si="4"/>
        <v>2.8258565877783415E-3</v>
      </c>
      <c r="H89" s="179"/>
      <c r="R89" s="199">
        <v>41764</v>
      </c>
      <c r="S89" s="180">
        <v>4.2919999999999998</v>
      </c>
    </row>
    <row r="90" spans="2:19">
      <c r="B90" s="198">
        <v>43763</v>
      </c>
      <c r="C90" s="178">
        <v>71730.320000000007</v>
      </c>
      <c r="D90">
        <f t="shared" si="3"/>
        <v>6.5460987075909305E-3</v>
      </c>
      <c r="E90" s="179">
        <v>28.71</v>
      </c>
      <c r="F90">
        <f t="shared" si="4"/>
        <v>1.1271574498062709E-2</v>
      </c>
      <c r="H90" s="179"/>
      <c r="R90" s="199">
        <v>41765</v>
      </c>
      <c r="S90" s="180">
        <v>4.2919999999999998</v>
      </c>
    </row>
    <row r="91" spans="2:19">
      <c r="B91" s="198">
        <v>43766</v>
      </c>
      <c r="C91" s="178">
        <v>71746.66</v>
      </c>
      <c r="D91">
        <f t="shared" si="3"/>
        <v>2.2779767328517941E-4</v>
      </c>
      <c r="E91" s="179">
        <v>28.73</v>
      </c>
      <c r="F91">
        <f t="shared" si="4"/>
        <v>6.9662138627646364E-4</v>
      </c>
      <c r="H91" s="179"/>
      <c r="R91" s="199">
        <v>41766</v>
      </c>
      <c r="S91" s="180">
        <v>4.2919999999999998</v>
      </c>
    </row>
    <row r="92" spans="2:19">
      <c r="B92" s="198">
        <v>43767</v>
      </c>
      <c r="C92" s="178">
        <v>71811</v>
      </c>
      <c r="D92">
        <f t="shared" si="3"/>
        <v>8.9676648362435607E-4</v>
      </c>
      <c r="E92" s="179">
        <v>28.89</v>
      </c>
      <c r="F92">
        <f t="shared" si="4"/>
        <v>5.5690915419421838E-3</v>
      </c>
      <c r="H92" s="179"/>
      <c r="R92" s="199">
        <v>41767</v>
      </c>
      <c r="S92" s="180">
        <v>4.2919999999999998</v>
      </c>
    </row>
    <row r="93" spans="2:19">
      <c r="B93" s="198">
        <v>43768</v>
      </c>
      <c r="C93" s="178">
        <v>71247.17</v>
      </c>
      <c r="D93">
        <f t="shared" si="3"/>
        <v>-7.8515826266171151E-3</v>
      </c>
      <c r="E93" s="179">
        <v>28.78</v>
      </c>
      <c r="F93">
        <f t="shared" si="4"/>
        <v>-3.8075458636206427E-3</v>
      </c>
      <c r="H93" s="179"/>
      <c r="R93" s="199">
        <v>41768</v>
      </c>
      <c r="S93" s="180">
        <v>4.2919999999999998</v>
      </c>
    </row>
    <row r="94" spans="2:19">
      <c r="B94" s="198">
        <v>43769</v>
      </c>
      <c r="C94" s="178">
        <v>71018.39</v>
      </c>
      <c r="D94">
        <f t="shared" si="3"/>
        <v>-3.2110749100631164E-3</v>
      </c>
      <c r="E94" s="179">
        <v>28.54</v>
      </c>
      <c r="F94">
        <f t="shared" si="4"/>
        <v>-8.3391243919389568E-3</v>
      </c>
      <c r="H94" s="179"/>
      <c r="R94" s="199">
        <v>41771</v>
      </c>
      <c r="S94" s="180">
        <v>4.2919999999999998</v>
      </c>
    </row>
    <row r="95" spans="2:19">
      <c r="B95" s="198">
        <v>43770</v>
      </c>
      <c r="C95" s="178">
        <v>71084.39</v>
      </c>
      <c r="D95">
        <f t="shared" si="3"/>
        <v>9.2933675348039202E-4</v>
      </c>
      <c r="E95" s="179">
        <v>28.99</v>
      </c>
      <c r="F95">
        <f t="shared" si="4"/>
        <v>1.5767344078486234E-2</v>
      </c>
      <c r="H95" s="179"/>
      <c r="R95" s="199">
        <v>41772</v>
      </c>
      <c r="S95" s="180">
        <v>4.2919999999999998</v>
      </c>
    </row>
    <row r="96" spans="2:19">
      <c r="B96" s="198">
        <v>43773</v>
      </c>
      <c r="C96" s="178">
        <v>71301.350000000006</v>
      </c>
      <c r="D96">
        <f t="shared" si="3"/>
        <v>3.0521468918844885E-3</v>
      </c>
      <c r="E96" s="179">
        <v>29.09</v>
      </c>
      <c r="F96">
        <f t="shared" si="4"/>
        <v>3.4494653328733804E-3</v>
      </c>
      <c r="H96" s="179"/>
      <c r="R96" s="199">
        <v>41773</v>
      </c>
      <c r="S96" s="180">
        <v>4.2919999999999998</v>
      </c>
    </row>
    <row r="97" spans="2:19">
      <c r="B97" s="198">
        <v>43774</v>
      </c>
      <c r="C97" s="178">
        <v>71424.990000000005</v>
      </c>
      <c r="D97">
        <f t="shared" si="3"/>
        <v>1.7340485138079842E-3</v>
      </c>
      <c r="E97" s="179">
        <v>29.3</v>
      </c>
      <c r="F97">
        <f t="shared" si="4"/>
        <v>7.2189755929872312E-3</v>
      </c>
      <c r="H97" s="179"/>
      <c r="R97" s="199">
        <v>41774</v>
      </c>
      <c r="S97" s="180">
        <v>4.2919999999999998</v>
      </c>
    </row>
    <row r="98" spans="2:19">
      <c r="B98" s="198">
        <v>43775</v>
      </c>
      <c r="C98" s="178">
        <v>71032.45</v>
      </c>
      <c r="D98">
        <f t="shared" si="3"/>
        <v>-5.4958355611951504E-3</v>
      </c>
      <c r="E98" s="179">
        <v>29.03</v>
      </c>
      <c r="F98">
        <f t="shared" si="4"/>
        <v>-9.215017064846398E-3</v>
      </c>
      <c r="H98" s="179"/>
      <c r="R98" s="199">
        <v>41775</v>
      </c>
      <c r="S98" s="180">
        <v>4.2919999999999998</v>
      </c>
    </row>
    <row r="99" spans="2:19">
      <c r="B99" s="198">
        <v>43776</v>
      </c>
      <c r="C99" s="178">
        <v>71700.33</v>
      </c>
      <c r="D99">
        <f t="shared" si="3"/>
        <v>9.4024632403924002E-3</v>
      </c>
      <c r="E99" s="179">
        <v>29.23</v>
      </c>
      <c r="F99">
        <f t="shared" si="4"/>
        <v>6.8894247330346658E-3</v>
      </c>
      <c r="H99" s="179"/>
      <c r="R99" s="199">
        <v>41778</v>
      </c>
      <c r="S99" s="180">
        <v>4.2919999999999998</v>
      </c>
    </row>
    <row r="100" spans="2:19">
      <c r="B100" s="198">
        <v>43777</v>
      </c>
      <c r="C100" s="178">
        <v>71664.509999999995</v>
      </c>
      <c r="D100">
        <f t="shared" si="3"/>
        <v>-4.9957929063937367E-4</v>
      </c>
      <c r="E100" s="179">
        <v>29.15</v>
      </c>
      <c r="F100">
        <f t="shared" si="4"/>
        <v>-2.7369141293192012E-3</v>
      </c>
      <c r="H100" s="179"/>
      <c r="R100" s="199">
        <v>41779</v>
      </c>
      <c r="S100" s="180">
        <v>4.2919999999999998</v>
      </c>
    </row>
    <row r="101" spans="2:19">
      <c r="B101" s="198">
        <v>43780</v>
      </c>
      <c r="C101" s="178">
        <v>72234.259999999995</v>
      </c>
      <c r="D101">
        <f t="shared" si="3"/>
        <v>7.9502392467345473E-3</v>
      </c>
      <c r="E101" s="179">
        <v>29.28</v>
      </c>
      <c r="F101">
        <f t="shared" si="4"/>
        <v>4.4596912521441823E-3</v>
      </c>
      <c r="H101" s="179"/>
      <c r="R101" s="199">
        <v>41780</v>
      </c>
      <c r="S101" s="180">
        <v>4.2919999999999998</v>
      </c>
    </row>
    <row r="102" spans="2:19">
      <c r="B102" s="198">
        <v>43781</v>
      </c>
      <c r="C102" s="178">
        <v>72124.98</v>
      </c>
      <c r="D102">
        <f t="shared" si="3"/>
        <v>-1.5128555342022176E-3</v>
      </c>
      <c r="E102" s="179">
        <v>29.19</v>
      </c>
      <c r="F102">
        <f t="shared" si="4"/>
        <v>-3.0737704918032405E-3</v>
      </c>
      <c r="H102" s="179"/>
      <c r="R102" s="199">
        <v>41781</v>
      </c>
      <c r="S102" s="180">
        <v>4.2919999999999998</v>
      </c>
    </row>
    <row r="103" spans="2:19">
      <c r="B103" s="198">
        <v>43782</v>
      </c>
      <c r="C103" s="178">
        <v>71584.3</v>
      </c>
      <c r="D103">
        <f t="shared" si="3"/>
        <v>-7.4964318880919034E-3</v>
      </c>
      <c r="E103" s="179">
        <v>29.15</v>
      </c>
      <c r="F103">
        <f t="shared" si="4"/>
        <v>-1.3703323055841432E-3</v>
      </c>
      <c r="H103" s="179"/>
      <c r="R103" s="199">
        <v>41782</v>
      </c>
      <c r="S103" s="180">
        <v>4.2919999999999998</v>
      </c>
    </row>
    <row r="104" spans="2:19">
      <c r="B104" s="198">
        <v>43783</v>
      </c>
      <c r="C104" s="178">
        <v>72039.39</v>
      </c>
      <c r="D104">
        <f t="shared" si="3"/>
        <v>6.3573995973977837E-3</v>
      </c>
      <c r="E104" s="179">
        <v>29.27</v>
      </c>
      <c r="F104">
        <f t="shared" si="4"/>
        <v>4.1166380789021684E-3</v>
      </c>
      <c r="H104" s="179"/>
      <c r="R104" s="199">
        <v>41785</v>
      </c>
      <c r="S104" s="180">
        <v>4.2919999999999998</v>
      </c>
    </row>
    <row r="105" spans="2:19">
      <c r="B105" s="198">
        <v>43784</v>
      </c>
      <c r="C105" s="178">
        <v>72656.990000000005</v>
      </c>
      <c r="D105">
        <f t="shared" si="3"/>
        <v>8.5730875844451937E-3</v>
      </c>
      <c r="E105" s="179">
        <v>29.37</v>
      </c>
      <c r="F105">
        <f t="shared" si="4"/>
        <v>3.416467372736598E-3</v>
      </c>
      <c r="H105" s="179"/>
      <c r="R105" s="199">
        <v>41786</v>
      </c>
      <c r="S105" s="180">
        <v>4.2919999999999998</v>
      </c>
    </row>
    <row r="106" spans="2:19">
      <c r="B106" s="198">
        <v>43787</v>
      </c>
      <c r="C106" s="178">
        <v>72377.42</v>
      </c>
      <c r="D106">
        <f t="shared" si="3"/>
        <v>-3.8478059715935098E-3</v>
      </c>
      <c r="E106" s="179">
        <v>29.14</v>
      </c>
      <c r="F106">
        <f t="shared" si="4"/>
        <v>-7.8311201906707817E-3</v>
      </c>
      <c r="H106" s="179"/>
      <c r="R106" s="199">
        <v>41787</v>
      </c>
      <c r="S106" s="180">
        <v>4.2919999999999998</v>
      </c>
    </row>
    <row r="107" spans="2:19">
      <c r="B107" s="198">
        <v>43788</v>
      </c>
      <c r="C107" s="178">
        <v>72823.59</v>
      </c>
      <c r="D107">
        <f t="shared" si="3"/>
        <v>6.1644916328877919E-3</v>
      </c>
      <c r="E107" s="179">
        <v>29.74</v>
      </c>
      <c r="F107">
        <f t="shared" si="4"/>
        <v>2.0590253946465298E-2</v>
      </c>
      <c r="H107" s="179"/>
      <c r="R107" s="199">
        <v>41788</v>
      </c>
      <c r="S107" s="180">
        <v>4.2919999999999998</v>
      </c>
    </row>
    <row r="108" spans="2:19">
      <c r="B108" s="198">
        <v>43789</v>
      </c>
      <c r="C108" s="178">
        <v>71919.8</v>
      </c>
      <c r="D108">
        <f t="shared" si="3"/>
        <v>-1.2410676265753873E-2</v>
      </c>
      <c r="E108" s="179">
        <v>29.83</v>
      </c>
      <c r="F108">
        <f t="shared" si="4"/>
        <v>3.0262273032952702E-3</v>
      </c>
      <c r="H108" s="179"/>
      <c r="R108" s="199">
        <v>41789</v>
      </c>
      <c r="S108" s="180">
        <v>4.2919999999999998</v>
      </c>
    </row>
    <row r="109" spans="2:19">
      <c r="B109" s="198">
        <v>43790</v>
      </c>
      <c r="C109" s="178">
        <v>71388.100000000006</v>
      </c>
      <c r="D109">
        <f t="shared" si="3"/>
        <v>-7.3929571550532813E-3</v>
      </c>
      <c r="E109" s="179">
        <v>29.62</v>
      </c>
      <c r="F109">
        <f t="shared" si="4"/>
        <v>-7.0398927254441412E-3</v>
      </c>
      <c r="H109" s="179"/>
      <c r="R109" s="199">
        <v>41792</v>
      </c>
      <c r="S109" s="180">
        <v>4.2919999999999998</v>
      </c>
    </row>
    <row r="110" spans="2:19">
      <c r="B110" s="198">
        <v>43791</v>
      </c>
      <c r="C110" s="178">
        <v>71797.25</v>
      </c>
      <c r="D110">
        <f t="shared" si="3"/>
        <v>5.7313473814262217E-3</v>
      </c>
      <c r="E110" s="179">
        <v>29.77</v>
      </c>
      <c r="F110">
        <f t="shared" si="4"/>
        <v>5.0641458474003365E-3</v>
      </c>
      <c r="H110" s="179"/>
      <c r="R110" s="199">
        <v>41793</v>
      </c>
      <c r="S110" s="180">
        <v>4.2919999999999998</v>
      </c>
    </row>
    <row r="111" spans="2:19">
      <c r="B111" s="198">
        <v>43794</v>
      </c>
      <c r="C111" s="178">
        <v>71998.100000000006</v>
      </c>
      <c r="D111">
        <f t="shared" si="3"/>
        <v>2.7974609055361199E-3</v>
      </c>
      <c r="E111" s="179">
        <v>29.85</v>
      </c>
      <c r="F111">
        <f t="shared" si="4"/>
        <v>2.6872690628150231E-3</v>
      </c>
      <c r="H111" s="179"/>
      <c r="R111" s="199">
        <v>41794</v>
      </c>
      <c r="S111" s="180">
        <v>4.2919999999999998</v>
      </c>
    </row>
    <row r="112" spans="2:19">
      <c r="B112" s="198">
        <v>43795</v>
      </c>
      <c r="C112" s="178">
        <v>72568.87</v>
      </c>
      <c r="D112">
        <f t="shared" si="3"/>
        <v>7.9275703108829809E-3</v>
      </c>
      <c r="E112" s="179">
        <v>30.2</v>
      </c>
      <c r="F112">
        <f t="shared" si="4"/>
        <v>1.1725293132328174E-2</v>
      </c>
      <c r="H112" s="179"/>
      <c r="R112" s="199">
        <v>41795</v>
      </c>
      <c r="S112" s="180">
        <v>4.2919999999999998</v>
      </c>
    </row>
    <row r="113" spans="2:19">
      <c r="B113" s="198">
        <v>43796</v>
      </c>
      <c r="C113" s="178">
        <v>73218.3</v>
      </c>
      <c r="D113">
        <f t="shared" si="3"/>
        <v>8.9491540932082891E-3</v>
      </c>
      <c r="E113" s="179">
        <v>30.59</v>
      </c>
      <c r="F113">
        <f t="shared" si="4"/>
        <v>1.2913907284768156E-2</v>
      </c>
      <c r="H113" s="179"/>
      <c r="R113" s="199">
        <v>41796</v>
      </c>
      <c r="S113" s="180">
        <v>4.2919999999999998</v>
      </c>
    </row>
    <row r="114" spans="2:19">
      <c r="B114" s="198">
        <v>43797</v>
      </c>
      <c r="C114" s="178">
        <v>73384.98</v>
      </c>
      <c r="D114">
        <f t="shared" si="3"/>
        <v>2.2764800603127799E-3</v>
      </c>
      <c r="E114" s="179">
        <v>30.31</v>
      </c>
      <c r="F114">
        <f t="shared" si="4"/>
        <v>-9.1533180778032852E-3</v>
      </c>
      <c r="H114" s="179"/>
      <c r="R114" s="199">
        <v>41800</v>
      </c>
      <c r="S114" s="180">
        <v>4.2919999999999998</v>
      </c>
    </row>
    <row r="115" spans="2:19">
      <c r="B115" s="198">
        <v>43798</v>
      </c>
      <c r="C115" s="178">
        <v>73201.45</v>
      </c>
      <c r="D115">
        <f t="shared" si="3"/>
        <v>-2.5009204880889202E-3</v>
      </c>
      <c r="E115" s="179">
        <v>30.12</v>
      </c>
      <c r="F115">
        <f t="shared" si="4"/>
        <v>-6.2685582316066579E-3</v>
      </c>
      <c r="H115" s="179"/>
      <c r="R115" s="199">
        <v>41801</v>
      </c>
      <c r="S115" s="180">
        <v>4.2919999999999998</v>
      </c>
    </row>
    <row r="116" spans="2:19">
      <c r="B116" s="198">
        <v>43801</v>
      </c>
      <c r="C116" s="178">
        <v>73383.91</v>
      </c>
      <c r="D116">
        <f t="shared" si="3"/>
        <v>2.4925735760699119E-3</v>
      </c>
      <c r="E116" s="179">
        <v>30.37</v>
      </c>
      <c r="F116">
        <f t="shared" si="4"/>
        <v>8.3001328021248266E-3</v>
      </c>
      <c r="H116" s="179"/>
      <c r="R116" s="199">
        <v>41802</v>
      </c>
      <c r="S116" s="180">
        <v>4.2919999999999998</v>
      </c>
    </row>
    <row r="117" spans="2:19">
      <c r="B117" s="198">
        <v>43802</v>
      </c>
      <c r="C117" s="178">
        <v>71835.820000000007</v>
      </c>
      <c r="D117">
        <f t="shared" si="3"/>
        <v>-2.1095768813626847E-2</v>
      </c>
      <c r="E117" s="179">
        <v>29.34</v>
      </c>
      <c r="F117">
        <f t="shared" si="4"/>
        <v>-3.3915047744484728E-2</v>
      </c>
      <c r="H117" s="179"/>
      <c r="R117" s="199">
        <v>41803</v>
      </c>
      <c r="S117" s="180">
        <v>4.2919999999999998</v>
      </c>
    </row>
    <row r="118" spans="2:19">
      <c r="B118" s="198">
        <v>43803</v>
      </c>
      <c r="C118" s="178">
        <v>70740.179999999993</v>
      </c>
      <c r="D118">
        <f t="shared" si="3"/>
        <v>-1.5252001021217709E-2</v>
      </c>
      <c r="E118" s="179">
        <v>28.58</v>
      </c>
      <c r="F118">
        <f t="shared" si="4"/>
        <v>-2.5903203817314258E-2</v>
      </c>
      <c r="H118" s="179"/>
      <c r="R118" s="199">
        <v>41806</v>
      </c>
      <c r="S118" s="180">
        <v>4.2919999999999998</v>
      </c>
    </row>
    <row r="119" spans="2:19">
      <c r="B119" s="198">
        <v>43804</v>
      </c>
      <c r="C119" s="178">
        <v>71552.2</v>
      </c>
      <c r="D119">
        <f t="shared" si="3"/>
        <v>1.1478907743802891E-2</v>
      </c>
      <c r="E119" s="179">
        <v>28.74</v>
      </c>
      <c r="F119">
        <f t="shared" si="4"/>
        <v>5.598320503848786E-3</v>
      </c>
      <c r="H119" s="179"/>
      <c r="R119" s="199">
        <v>41807</v>
      </c>
      <c r="S119" s="180">
        <v>4.2919999999999998</v>
      </c>
    </row>
    <row r="120" spans="2:19">
      <c r="B120" s="198">
        <v>43805</v>
      </c>
      <c r="C120" s="178">
        <v>71788.12</v>
      </c>
      <c r="D120">
        <f t="shared" si="3"/>
        <v>3.2971732525344244E-3</v>
      </c>
      <c r="E120" s="179">
        <v>29.16</v>
      </c>
      <c r="F120">
        <f t="shared" si="4"/>
        <v>1.4613778705636848E-2</v>
      </c>
      <c r="H120" s="179"/>
      <c r="R120" s="199">
        <v>41808</v>
      </c>
      <c r="S120" s="180">
        <v>4.2919999999999998</v>
      </c>
    </row>
    <row r="121" spans="2:19">
      <c r="B121" s="198">
        <v>43808</v>
      </c>
      <c r="C121" s="178">
        <v>72029.3</v>
      </c>
      <c r="D121">
        <f t="shared" si="3"/>
        <v>3.3596088043537087E-3</v>
      </c>
      <c r="E121" s="179">
        <v>29.33</v>
      </c>
      <c r="F121">
        <f t="shared" si="4"/>
        <v>5.8299039780520534E-3</v>
      </c>
      <c r="H121" s="179"/>
      <c r="R121" s="199">
        <v>41809</v>
      </c>
      <c r="S121" s="180">
        <v>4.2919999999999998</v>
      </c>
    </row>
    <row r="122" spans="2:19">
      <c r="B122" s="198">
        <v>43809</v>
      </c>
      <c r="C122" s="178">
        <v>71773.490000000005</v>
      </c>
      <c r="D122">
        <f t="shared" si="3"/>
        <v>-3.5514714151047011E-3</v>
      </c>
      <c r="E122" s="179">
        <v>29.37</v>
      </c>
      <c r="F122">
        <f t="shared" si="4"/>
        <v>1.3637913399251467E-3</v>
      </c>
      <c r="H122" s="179"/>
      <c r="R122" s="199">
        <v>41810</v>
      </c>
      <c r="S122" s="180">
        <v>4.2919999999999998</v>
      </c>
    </row>
    <row r="123" spans="2:19">
      <c r="B123" s="198">
        <v>43810</v>
      </c>
      <c r="C123" s="178">
        <v>72207.100000000006</v>
      </c>
      <c r="D123">
        <f t="shared" si="3"/>
        <v>6.0413670841421574E-3</v>
      </c>
      <c r="E123" s="179">
        <v>29.46</v>
      </c>
      <c r="F123">
        <f t="shared" si="4"/>
        <v>3.0643513789581078E-3</v>
      </c>
      <c r="H123" s="179"/>
      <c r="R123" s="199">
        <v>41813</v>
      </c>
      <c r="S123" s="180">
        <v>4.2919999999999998</v>
      </c>
    </row>
    <row r="124" spans="2:19">
      <c r="B124" s="198">
        <v>43811</v>
      </c>
      <c r="C124" s="178">
        <v>71760.95</v>
      </c>
      <c r="D124">
        <f t="shared" si="3"/>
        <v>-6.1787552747584185E-3</v>
      </c>
      <c r="E124" s="179">
        <v>29.22</v>
      </c>
      <c r="F124">
        <f t="shared" si="4"/>
        <v>-8.1466395112016476E-3</v>
      </c>
      <c r="H124" s="179"/>
      <c r="R124" s="199">
        <v>41814</v>
      </c>
      <c r="S124" s="180">
        <v>4.2919999999999998</v>
      </c>
    </row>
    <row r="125" spans="2:19">
      <c r="B125" s="198">
        <v>43812</v>
      </c>
      <c r="C125" s="178">
        <v>72116.58</v>
      </c>
      <c r="D125">
        <f t="shared" si="3"/>
        <v>4.9557593649471876E-3</v>
      </c>
      <c r="E125" s="179">
        <v>28.93</v>
      </c>
      <c r="F125">
        <f t="shared" si="4"/>
        <v>-9.924709103353857E-3</v>
      </c>
      <c r="H125" s="179"/>
      <c r="R125" s="199">
        <v>41815</v>
      </c>
      <c r="S125" s="180">
        <v>4.2919999999999998</v>
      </c>
    </row>
    <row r="126" spans="2:19">
      <c r="B126" s="198">
        <v>43815</v>
      </c>
      <c r="C126" s="178">
        <v>73251.649999999994</v>
      </c>
      <c r="D126">
        <f t="shared" si="3"/>
        <v>1.5739376437429398E-2</v>
      </c>
      <c r="E126" s="179">
        <v>29.55</v>
      </c>
      <c r="F126">
        <f t="shared" si="4"/>
        <v>2.1431040442447369E-2</v>
      </c>
      <c r="H126" s="179"/>
      <c r="R126" s="199">
        <v>41816</v>
      </c>
      <c r="S126" s="180">
        <v>4.2919999999999998</v>
      </c>
    </row>
    <row r="127" spans="2:19">
      <c r="B127" s="198">
        <v>43816</v>
      </c>
      <c r="C127" s="178">
        <v>73234.42</v>
      </c>
      <c r="D127">
        <f t="shared" si="3"/>
        <v>-2.3521654461022834E-4</v>
      </c>
      <c r="E127" s="179">
        <v>29.38</v>
      </c>
      <c r="F127">
        <f t="shared" si="4"/>
        <v>-5.7529610829103461E-3</v>
      </c>
      <c r="H127" s="179"/>
      <c r="R127" s="199">
        <v>41817</v>
      </c>
      <c r="S127" s="180">
        <v>4.2919999999999998</v>
      </c>
    </row>
    <row r="128" spans="2:19">
      <c r="B128" s="198">
        <v>43817</v>
      </c>
      <c r="C128" s="178">
        <v>73302.89</v>
      </c>
      <c r="D128">
        <f t="shared" si="3"/>
        <v>9.3494288614559551E-4</v>
      </c>
      <c r="E128" s="179">
        <v>29.61</v>
      </c>
      <c r="F128">
        <f t="shared" si="4"/>
        <v>7.828454731109602E-3</v>
      </c>
      <c r="H128" s="179"/>
      <c r="R128" s="199">
        <v>41820</v>
      </c>
      <c r="S128" s="180">
        <v>4.2919999999999998</v>
      </c>
    </row>
    <row r="129" spans="2:19">
      <c r="B129" s="198">
        <v>43818</v>
      </c>
      <c r="C129" s="178">
        <v>73150.83</v>
      </c>
      <c r="D129">
        <f t="shared" si="3"/>
        <v>-2.074406616164759E-3</v>
      </c>
      <c r="E129" s="179">
        <v>29.41</v>
      </c>
      <c r="F129">
        <f t="shared" si="4"/>
        <v>-6.7544748395812482E-3</v>
      </c>
      <c r="H129" s="179"/>
      <c r="R129" s="199">
        <v>41821</v>
      </c>
      <c r="S129" s="180">
        <v>4.2919999999999998</v>
      </c>
    </row>
    <row r="130" spans="2:19">
      <c r="B130" s="198">
        <v>43819</v>
      </c>
      <c r="C130" s="178">
        <v>72959.95</v>
      </c>
      <c r="D130">
        <f t="shared" si="3"/>
        <v>-2.609403064873006E-3</v>
      </c>
      <c r="E130" s="179">
        <v>29.6</v>
      </c>
      <c r="F130">
        <f t="shared" si="4"/>
        <v>6.460387623257402E-3</v>
      </c>
      <c r="H130" s="179"/>
      <c r="R130" s="199">
        <v>41822</v>
      </c>
      <c r="S130" s="180">
        <v>4.2919999999999998</v>
      </c>
    </row>
    <row r="131" spans="2:19">
      <c r="B131" s="198">
        <v>43822</v>
      </c>
      <c r="C131" s="178">
        <v>72647.13</v>
      </c>
      <c r="D131">
        <f t="shared" si="3"/>
        <v>-4.2875577628547212E-3</v>
      </c>
      <c r="E131" s="179">
        <v>29.38</v>
      </c>
      <c r="F131">
        <f t="shared" si="4"/>
        <v>-7.4324324324325231E-3</v>
      </c>
      <c r="H131" s="179"/>
      <c r="R131" s="199">
        <v>41823</v>
      </c>
      <c r="S131" s="180">
        <v>4.2919999999999998</v>
      </c>
    </row>
    <row r="132" spans="2:19">
      <c r="B132" s="198">
        <v>43823</v>
      </c>
      <c r="C132" s="178">
        <v>72769.69</v>
      </c>
      <c r="D132">
        <f t="shared" si="3"/>
        <v>1.6870590758368831E-3</v>
      </c>
      <c r="E132" s="179">
        <v>29.47</v>
      </c>
      <c r="F132">
        <f t="shared" si="4"/>
        <v>3.0633083730429167E-3</v>
      </c>
      <c r="H132" s="179"/>
      <c r="R132" s="199">
        <v>41824</v>
      </c>
      <c r="S132" s="180">
        <v>4.2919999999999998</v>
      </c>
    </row>
    <row r="133" spans="2:19">
      <c r="B133" s="198">
        <v>43826</v>
      </c>
      <c r="C133" s="178">
        <v>73084.710000000006</v>
      </c>
      <c r="D133">
        <f t="shared" si="3"/>
        <v>4.32900016476645E-3</v>
      </c>
      <c r="E133" s="179">
        <v>29.4</v>
      </c>
      <c r="F133">
        <f t="shared" si="4"/>
        <v>-2.3752969121140222E-3</v>
      </c>
      <c r="H133" s="179"/>
      <c r="R133" s="199">
        <v>41827</v>
      </c>
      <c r="S133" s="180">
        <v>4.2919999999999998</v>
      </c>
    </row>
    <row r="134" spans="2:19">
      <c r="B134" s="198">
        <v>43829</v>
      </c>
      <c r="C134" s="178">
        <v>73072.31</v>
      </c>
      <c r="D134">
        <f t="shared" si="3"/>
        <v>-1.6966613126068175E-4</v>
      </c>
      <c r="E134" s="179">
        <v>29.49</v>
      </c>
      <c r="F134">
        <f t="shared" si="4"/>
        <v>3.0612244897958441E-3</v>
      </c>
      <c r="H134" s="179"/>
      <c r="R134" s="199">
        <v>41828</v>
      </c>
      <c r="S134" s="180">
        <v>4.2919999999999998</v>
      </c>
    </row>
    <row r="135" spans="2:19">
      <c r="B135" s="198">
        <v>43830</v>
      </c>
      <c r="C135" s="178">
        <v>71813.87</v>
      </c>
      <c r="D135">
        <f t="shared" si="3"/>
        <v>-1.7221845046365702E-2</v>
      </c>
      <c r="E135" s="179">
        <v>28.75</v>
      </c>
      <c r="F135">
        <f t="shared" si="4"/>
        <v>-2.5093251949813489E-2</v>
      </c>
      <c r="H135" s="179"/>
      <c r="R135" s="199">
        <v>41829</v>
      </c>
      <c r="S135" s="180">
        <v>4.2919999999999998</v>
      </c>
    </row>
    <row r="136" spans="2:19">
      <c r="B136" s="198">
        <v>43832</v>
      </c>
      <c r="C136" s="178">
        <v>71893.73</v>
      </c>
      <c r="D136">
        <f t="shared" ref="D136:D199" si="5">(C136/C135)-1</f>
        <v>1.1120414482606034E-3</v>
      </c>
      <c r="E136" s="179">
        <v>28.64</v>
      </c>
      <c r="F136">
        <f t="shared" ref="F136:F199" si="6">(E136/E135)-1</f>
        <v>-3.826086956521757E-3</v>
      </c>
      <c r="H136" s="179"/>
      <c r="R136" s="199">
        <v>41830</v>
      </c>
      <c r="S136" s="180">
        <v>4.2919999999999998</v>
      </c>
    </row>
    <row r="137" spans="2:19">
      <c r="B137" s="198">
        <v>43833</v>
      </c>
      <c r="C137" s="178">
        <v>72371.399999999994</v>
      </c>
      <c r="D137">
        <f t="shared" si="5"/>
        <v>6.6441120804274778E-3</v>
      </c>
      <c r="E137" s="179">
        <v>28.9</v>
      </c>
      <c r="F137">
        <f t="shared" si="6"/>
        <v>9.0782122905026519E-3</v>
      </c>
      <c r="H137" s="179"/>
      <c r="R137" s="199">
        <v>41831</v>
      </c>
      <c r="S137" s="180">
        <v>4.2919999999999998</v>
      </c>
    </row>
    <row r="138" spans="2:19">
      <c r="B138" s="198">
        <v>43836</v>
      </c>
      <c r="C138" s="178">
        <v>72394.559999999998</v>
      </c>
      <c r="D138">
        <f t="shared" si="5"/>
        <v>3.2001591789021511E-4</v>
      </c>
      <c r="E138" s="179">
        <v>29.21</v>
      </c>
      <c r="F138">
        <f t="shared" si="6"/>
        <v>1.072664359861597E-2</v>
      </c>
      <c r="H138" s="179"/>
      <c r="R138" s="199">
        <v>41834</v>
      </c>
      <c r="S138" s="180">
        <v>4.2919999999999998</v>
      </c>
    </row>
    <row r="139" spans="2:19">
      <c r="B139" s="198">
        <v>43837</v>
      </c>
      <c r="C139" s="178">
        <v>73304.479999999996</v>
      </c>
      <c r="D139">
        <f t="shared" si="5"/>
        <v>1.2568900204656286E-2</v>
      </c>
      <c r="E139" s="179">
        <v>29.52</v>
      </c>
      <c r="F139">
        <f t="shared" si="6"/>
        <v>1.0612803834303186E-2</v>
      </c>
      <c r="H139" s="179"/>
      <c r="R139" s="199">
        <v>41835</v>
      </c>
      <c r="S139" s="180">
        <v>4.2919999999999998</v>
      </c>
    </row>
    <row r="140" spans="2:19">
      <c r="B140" s="198">
        <v>43838</v>
      </c>
      <c r="C140" s="178">
        <v>73162.59</v>
      </c>
      <c r="D140">
        <f t="shared" si="5"/>
        <v>-1.9356252169034915E-3</v>
      </c>
      <c r="E140" s="179">
        <v>29.79</v>
      </c>
      <c r="F140">
        <f t="shared" si="6"/>
        <v>9.1463414634145312E-3</v>
      </c>
      <c r="H140" s="179"/>
      <c r="R140" s="199">
        <v>41836</v>
      </c>
      <c r="S140" s="180">
        <v>4.2919999999999998</v>
      </c>
    </row>
    <row r="141" spans="2:19">
      <c r="B141" s="198">
        <v>43839</v>
      </c>
      <c r="C141" s="178">
        <v>73809.509999999995</v>
      </c>
      <c r="D141">
        <f t="shared" si="5"/>
        <v>8.8422238742504877E-3</v>
      </c>
      <c r="E141" s="179">
        <v>30.06</v>
      </c>
      <c r="F141">
        <f t="shared" si="6"/>
        <v>9.0634441087613649E-3</v>
      </c>
      <c r="H141" s="179"/>
      <c r="R141" s="199">
        <v>41837</v>
      </c>
      <c r="S141" s="180">
        <v>4.2919999999999998</v>
      </c>
    </row>
    <row r="142" spans="2:19">
      <c r="B142" s="198">
        <v>43840</v>
      </c>
      <c r="C142" s="178">
        <v>74342.48</v>
      </c>
      <c r="D142">
        <f t="shared" si="5"/>
        <v>7.2208852219721731E-3</v>
      </c>
      <c r="E142" s="179">
        <v>30.35</v>
      </c>
      <c r="F142">
        <f t="shared" si="6"/>
        <v>9.6473719228211685E-3</v>
      </c>
      <c r="H142" s="179"/>
      <c r="R142" s="199">
        <v>41838</v>
      </c>
      <c r="S142" s="180">
        <v>4.2919999999999998</v>
      </c>
    </row>
    <row r="143" spans="2:19">
      <c r="B143" s="198">
        <v>43843</v>
      </c>
      <c r="C143" s="178">
        <v>74113.14</v>
      </c>
      <c r="D143">
        <f t="shared" si="5"/>
        <v>-3.0849118834883615E-3</v>
      </c>
      <c r="E143" s="179">
        <v>30.33</v>
      </c>
      <c r="F143">
        <f t="shared" si="6"/>
        <v>-6.5897858319619029E-4</v>
      </c>
      <c r="H143" s="179"/>
      <c r="R143" s="199">
        <v>41841</v>
      </c>
      <c r="S143" s="180">
        <v>4.2919999999999998</v>
      </c>
    </row>
    <row r="144" spans="2:19">
      <c r="B144" s="198">
        <v>43844</v>
      </c>
      <c r="C144" s="178">
        <v>74724.3</v>
      </c>
      <c r="D144">
        <f t="shared" si="5"/>
        <v>8.2463109780532839E-3</v>
      </c>
      <c r="E144" s="179">
        <v>30.56</v>
      </c>
      <c r="F144">
        <f t="shared" si="6"/>
        <v>7.5832509066930953E-3</v>
      </c>
      <c r="H144" s="179"/>
      <c r="R144" s="199">
        <v>41842</v>
      </c>
      <c r="S144" s="180">
        <v>4.2919999999999998</v>
      </c>
    </row>
    <row r="145" spans="2:19">
      <c r="B145" s="198">
        <v>43845</v>
      </c>
      <c r="C145" s="178">
        <v>75098.559999999998</v>
      </c>
      <c r="D145">
        <f t="shared" si="5"/>
        <v>5.008544743811516E-3</v>
      </c>
      <c r="E145" s="179">
        <v>30.67</v>
      </c>
      <c r="F145">
        <f t="shared" si="6"/>
        <v>3.5994764397906387E-3</v>
      </c>
      <c r="H145" s="179"/>
      <c r="R145" s="199">
        <v>41843</v>
      </c>
      <c r="S145" s="180">
        <v>4.2919999999999998</v>
      </c>
    </row>
    <row r="146" spans="2:19">
      <c r="B146" s="198">
        <v>43846</v>
      </c>
      <c r="C146" s="178">
        <v>75575.13</v>
      </c>
      <c r="D146">
        <f t="shared" si="5"/>
        <v>6.3459272721075877E-3</v>
      </c>
      <c r="E146" s="179">
        <v>30.77</v>
      </c>
      <c r="F146">
        <f t="shared" si="6"/>
        <v>3.2605151613953609E-3</v>
      </c>
      <c r="H146" s="179"/>
      <c r="R146" s="199">
        <v>41844</v>
      </c>
      <c r="S146" s="180">
        <v>4.2919999999999998</v>
      </c>
    </row>
    <row r="147" spans="2:19">
      <c r="B147" s="198">
        <v>43847</v>
      </c>
      <c r="C147" s="178">
        <v>75803.710000000006</v>
      </c>
      <c r="D147">
        <f t="shared" si="5"/>
        <v>3.0245399511716897E-3</v>
      </c>
      <c r="E147" s="179">
        <v>30.97</v>
      </c>
      <c r="F147">
        <f t="shared" si="6"/>
        <v>6.4998375040623557E-3</v>
      </c>
      <c r="H147" s="179"/>
      <c r="R147" s="199">
        <v>41845</v>
      </c>
      <c r="S147" s="180">
        <v>4.2919999999999998</v>
      </c>
    </row>
    <row r="148" spans="2:19">
      <c r="B148" s="198">
        <v>43850</v>
      </c>
      <c r="C148" s="178">
        <v>75973.16</v>
      </c>
      <c r="D148">
        <f t="shared" si="5"/>
        <v>2.2353787169520078E-3</v>
      </c>
      <c r="E148" s="179">
        <v>31.02</v>
      </c>
      <c r="F148">
        <f t="shared" si="6"/>
        <v>1.6144656118823875E-3</v>
      </c>
      <c r="H148" s="179"/>
      <c r="R148" s="199">
        <v>41848</v>
      </c>
      <c r="S148" s="180">
        <v>4.2919999999999998</v>
      </c>
    </row>
    <row r="149" spans="2:19">
      <c r="B149" s="198">
        <v>43851</v>
      </c>
      <c r="C149" s="178">
        <v>75806.350000000006</v>
      </c>
      <c r="D149">
        <f t="shared" si="5"/>
        <v>-2.1956438300051451E-3</v>
      </c>
      <c r="E149" s="179">
        <v>31.07</v>
      </c>
      <c r="F149">
        <f t="shared" si="6"/>
        <v>1.611863313990991E-3</v>
      </c>
      <c r="H149" s="179"/>
      <c r="R149" s="199">
        <v>41849</v>
      </c>
      <c r="S149" s="180">
        <v>4.2919999999999998</v>
      </c>
    </row>
    <row r="150" spans="2:19">
      <c r="B150" s="198">
        <v>43852</v>
      </c>
      <c r="C150" s="178">
        <v>76529.509999999995</v>
      </c>
      <c r="D150">
        <f t="shared" si="5"/>
        <v>9.5395702338918476E-3</v>
      </c>
      <c r="E150" s="179">
        <v>31.44</v>
      </c>
      <c r="F150">
        <f t="shared" si="6"/>
        <v>1.1908593498551667E-2</v>
      </c>
      <c r="H150" s="179"/>
      <c r="R150" s="199">
        <v>41850</v>
      </c>
      <c r="S150" s="180">
        <v>4.2919999999999998</v>
      </c>
    </row>
    <row r="151" spans="2:19">
      <c r="B151" s="198">
        <v>43853</v>
      </c>
      <c r="C151" s="178">
        <v>76001.63</v>
      </c>
      <c r="D151">
        <f t="shared" si="5"/>
        <v>-6.8977313457252443E-3</v>
      </c>
      <c r="E151" s="179">
        <v>31</v>
      </c>
      <c r="F151">
        <f t="shared" si="6"/>
        <v>-1.3994910941475869E-2</v>
      </c>
      <c r="H151" s="179"/>
      <c r="R151" s="199">
        <v>41851</v>
      </c>
      <c r="S151" s="180">
        <v>4.2919999999999998</v>
      </c>
    </row>
    <row r="152" spans="2:19">
      <c r="B152" s="198">
        <v>43854</v>
      </c>
      <c r="C152" s="178">
        <v>76045.279999999999</v>
      </c>
      <c r="D152">
        <f t="shared" si="5"/>
        <v>5.7432978740057372E-4</v>
      </c>
      <c r="E152" s="179">
        <v>31.22</v>
      </c>
      <c r="F152">
        <f t="shared" si="6"/>
        <v>7.0967741935483719E-3</v>
      </c>
      <c r="H152" s="179"/>
      <c r="R152" s="199">
        <v>41852</v>
      </c>
      <c r="S152" s="180">
        <v>4.2919999999999998</v>
      </c>
    </row>
    <row r="153" spans="2:19">
      <c r="B153" s="198">
        <v>43858</v>
      </c>
      <c r="C153" s="178">
        <v>74938.679999999993</v>
      </c>
      <c r="D153">
        <f t="shared" si="5"/>
        <v>-1.4551856472880487E-2</v>
      </c>
      <c r="E153" s="179">
        <v>31.29</v>
      </c>
      <c r="F153">
        <f t="shared" si="6"/>
        <v>2.2421524663678305E-3</v>
      </c>
      <c r="H153" s="179"/>
      <c r="R153" s="199">
        <v>41855</v>
      </c>
      <c r="S153" s="180">
        <v>4.2919999999999998</v>
      </c>
    </row>
    <row r="154" spans="2:19">
      <c r="B154" s="198">
        <v>43859</v>
      </c>
      <c r="C154" s="178">
        <v>75334.720000000001</v>
      </c>
      <c r="D154">
        <f t="shared" si="5"/>
        <v>5.2848542301520141E-3</v>
      </c>
      <c r="E154" s="179">
        <v>31.6</v>
      </c>
      <c r="F154">
        <f t="shared" si="6"/>
        <v>9.9073186321509965E-3</v>
      </c>
      <c r="H154" s="179"/>
      <c r="R154" s="199">
        <v>41856</v>
      </c>
      <c r="S154" s="180">
        <v>4.2919999999999998</v>
      </c>
    </row>
    <row r="155" spans="2:19">
      <c r="B155" s="198">
        <v>43860</v>
      </c>
      <c r="C155" s="178">
        <v>75047.259999999995</v>
      </c>
      <c r="D155">
        <f t="shared" si="5"/>
        <v>-3.8157704707737494E-3</v>
      </c>
      <c r="E155" s="179">
        <v>31.5</v>
      </c>
      <c r="F155">
        <f t="shared" si="6"/>
        <v>-3.1645569620253333E-3</v>
      </c>
      <c r="H155" s="179"/>
      <c r="R155" s="199">
        <v>41857</v>
      </c>
      <c r="S155" s="180">
        <v>4.2919999999999998</v>
      </c>
    </row>
    <row r="156" spans="2:19">
      <c r="B156" s="198">
        <v>43861</v>
      </c>
      <c r="C156" s="178">
        <v>75179.41</v>
      </c>
      <c r="D156">
        <f t="shared" si="5"/>
        <v>1.7608904042600848E-3</v>
      </c>
      <c r="E156" s="179">
        <v>31.67</v>
      </c>
      <c r="F156">
        <f t="shared" si="6"/>
        <v>5.3968253968255109E-3</v>
      </c>
      <c r="H156" s="179"/>
      <c r="R156" s="199">
        <v>41858</v>
      </c>
      <c r="S156" s="180">
        <v>4.2919999999999998</v>
      </c>
    </row>
    <row r="157" spans="2:19">
      <c r="B157" s="198">
        <v>43864</v>
      </c>
      <c r="C157" s="178">
        <v>74110.080000000002</v>
      </c>
      <c r="D157">
        <f t="shared" si="5"/>
        <v>-1.4223708326521867E-2</v>
      </c>
      <c r="E157" s="179">
        <v>31.49</v>
      </c>
      <c r="F157">
        <f t="shared" si="6"/>
        <v>-5.6836122513420628E-3</v>
      </c>
      <c r="H157" s="179"/>
      <c r="R157" s="199">
        <v>41859</v>
      </c>
      <c r="S157" s="180">
        <v>4.2919999999999998</v>
      </c>
    </row>
    <row r="158" spans="2:19">
      <c r="B158" s="198">
        <v>43865</v>
      </c>
      <c r="C158" s="178">
        <v>74402.58</v>
      </c>
      <c r="D158">
        <f t="shared" si="5"/>
        <v>3.9468315241326657E-3</v>
      </c>
      <c r="E158" s="179">
        <v>31.13</v>
      </c>
      <c r="F158">
        <f t="shared" si="6"/>
        <v>-1.1432200698634487E-2</v>
      </c>
      <c r="H158" s="179"/>
      <c r="R158" s="199">
        <v>41862</v>
      </c>
      <c r="S158" s="180">
        <v>4.2919999999999998</v>
      </c>
    </row>
    <row r="159" spans="2:19">
      <c r="B159" s="198">
        <v>43866</v>
      </c>
      <c r="C159" s="178">
        <v>74754.95</v>
      </c>
      <c r="D159">
        <f t="shared" si="5"/>
        <v>4.7359916820088888E-3</v>
      </c>
      <c r="E159" s="179">
        <v>31.2</v>
      </c>
      <c r="F159">
        <f t="shared" si="6"/>
        <v>2.248634757468615E-3</v>
      </c>
      <c r="H159" s="179"/>
      <c r="R159" s="199">
        <v>41863</v>
      </c>
      <c r="S159" s="180">
        <v>4.2919999999999998</v>
      </c>
    </row>
    <row r="160" spans="2:19">
      <c r="B160" s="198">
        <v>43867</v>
      </c>
      <c r="C160" s="178">
        <v>75470.09</v>
      </c>
      <c r="D160">
        <f t="shared" si="5"/>
        <v>9.5664568031950115E-3</v>
      </c>
      <c r="E160" s="179">
        <v>31.33</v>
      </c>
      <c r="F160">
        <f t="shared" si="6"/>
        <v>4.1666666666666519E-3</v>
      </c>
      <c r="H160" s="179"/>
      <c r="R160" s="199">
        <v>41864</v>
      </c>
      <c r="S160" s="180">
        <v>4.2919999999999998</v>
      </c>
    </row>
    <row r="161" spans="2:19">
      <c r="B161" s="198">
        <v>43868</v>
      </c>
      <c r="C161" s="178">
        <v>75182.34</v>
      </c>
      <c r="D161">
        <f t="shared" si="5"/>
        <v>-3.8127687405699051E-3</v>
      </c>
      <c r="E161" s="179">
        <v>31.24</v>
      </c>
      <c r="F161">
        <f t="shared" si="6"/>
        <v>-2.8726460261729869E-3</v>
      </c>
      <c r="H161" s="179"/>
      <c r="R161" s="199">
        <v>41865</v>
      </c>
      <c r="S161" s="180">
        <v>4.2919999999999998</v>
      </c>
    </row>
    <row r="162" spans="2:19">
      <c r="B162" s="198">
        <v>43871</v>
      </c>
      <c r="C162" s="178">
        <v>75040.47</v>
      </c>
      <c r="D162">
        <f t="shared" si="5"/>
        <v>-1.8870122957066471E-3</v>
      </c>
      <c r="E162" s="179">
        <v>31.49</v>
      </c>
      <c r="F162">
        <f t="shared" si="6"/>
        <v>8.0025608194622677E-3</v>
      </c>
      <c r="H162" s="179"/>
      <c r="R162" s="199">
        <v>41866</v>
      </c>
      <c r="S162" s="180">
        <v>4.2919999999999998</v>
      </c>
    </row>
    <row r="163" spans="2:19">
      <c r="B163" s="198">
        <v>43872</v>
      </c>
      <c r="C163" s="178">
        <v>75499.199999999997</v>
      </c>
      <c r="D163">
        <f t="shared" si="5"/>
        <v>6.1131013705004733E-3</v>
      </c>
      <c r="E163" s="179">
        <v>31.95</v>
      </c>
      <c r="F163">
        <f t="shared" si="6"/>
        <v>1.4607812003810672E-2</v>
      </c>
      <c r="H163" s="179"/>
      <c r="R163" s="199">
        <v>41869</v>
      </c>
      <c r="S163" s="180">
        <v>4.2919999999999998</v>
      </c>
    </row>
    <row r="164" spans="2:19">
      <c r="B164" s="198">
        <v>43873</v>
      </c>
      <c r="C164" s="178">
        <v>75857.429999999993</v>
      </c>
      <c r="D164">
        <f t="shared" si="5"/>
        <v>4.744818488142899E-3</v>
      </c>
      <c r="E164" s="179">
        <v>31.72</v>
      </c>
      <c r="F164">
        <f t="shared" si="6"/>
        <v>-7.1987480438184814E-3</v>
      </c>
      <c r="H164" s="179"/>
      <c r="R164" s="199">
        <v>41870</v>
      </c>
      <c r="S164" s="180">
        <v>4.2919999999999998</v>
      </c>
    </row>
    <row r="165" spans="2:19">
      <c r="B165" s="198">
        <v>43874</v>
      </c>
      <c r="C165" s="178">
        <v>76084.429999999993</v>
      </c>
      <c r="D165">
        <f t="shared" si="5"/>
        <v>2.9924557159397569E-3</v>
      </c>
      <c r="E165" s="179">
        <v>31.51</v>
      </c>
      <c r="F165">
        <f t="shared" si="6"/>
        <v>-6.6204287515762017E-3</v>
      </c>
      <c r="H165" s="179"/>
      <c r="R165" s="199">
        <v>41871</v>
      </c>
      <c r="S165" s="180">
        <v>4.2919999999999998</v>
      </c>
    </row>
    <row r="166" spans="2:19">
      <c r="B166" s="198">
        <v>43875</v>
      </c>
      <c r="C166" s="178">
        <v>76322.83</v>
      </c>
      <c r="D166">
        <f t="shared" si="5"/>
        <v>3.1333611883537227E-3</v>
      </c>
      <c r="E166" s="179">
        <v>31.63</v>
      </c>
      <c r="F166">
        <f t="shared" si="6"/>
        <v>3.8083148206917716E-3</v>
      </c>
      <c r="H166" s="179"/>
      <c r="R166" s="199">
        <v>41872</v>
      </c>
      <c r="S166" s="180">
        <v>4.2919999999999998</v>
      </c>
    </row>
    <row r="167" spans="2:19">
      <c r="B167" s="198">
        <v>43878</v>
      </c>
      <c r="C167" s="178">
        <v>76262.22</v>
      </c>
      <c r="D167">
        <f t="shared" si="5"/>
        <v>-7.9412673770085096E-4</v>
      </c>
      <c r="E167" s="179">
        <v>31.5</v>
      </c>
      <c r="F167">
        <f t="shared" si="6"/>
        <v>-4.1100221308884022E-3</v>
      </c>
      <c r="H167" s="179"/>
      <c r="R167" s="199">
        <v>41873</v>
      </c>
      <c r="S167" s="180">
        <v>4.2919999999999998</v>
      </c>
    </row>
    <row r="168" spans="2:19">
      <c r="B168" s="198">
        <v>43879</v>
      </c>
      <c r="C168" s="178">
        <v>76145.25</v>
      </c>
      <c r="D168">
        <f t="shared" si="5"/>
        <v>-1.5337869786639091E-3</v>
      </c>
      <c r="E168" s="179">
        <v>31.45</v>
      </c>
      <c r="F168">
        <f t="shared" si="6"/>
        <v>-1.5873015873015817E-3</v>
      </c>
      <c r="H168" s="179"/>
      <c r="R168" s="199">
        <v>41876</v>
      </c>
      <c r="S168" s="180">
        <v>4.2919999999999998</v>
      </c>
    </row>
    <row r="169" spans="2:19">
      <c r="B169" s="198">
        <v>43880</v>
      </c>
      <c r="C169" s="178">
        <v>76588.509999999995</v>
      </c>
      <c r="D169">
        <f t="shared" si="5"/>
        <v>5.8212429534343357E-3</v>
      </c>
      <c r="E169" s="179">
        <v>31.58</v>
      </c>
      <c r="F169">
        <f t="shared" si="6"/>
        <v>4.1335453100159736E-3</v>
      </c>
      <c r="H169" s="179"/>
      <c r="R169" s="199">
        <v>41877</v>
      </c>
      <c r="S169" s="180">
        <v>4.2919999999999998</v>
      </c>
    </row>
    <row r="170" spans="2:19">
      <c r="B170" s="198">
        <v>43881</v>
      </c>
      <c r="C170" s="178">
        <v>76784.25</v>
      </c>
      <c r="D170">
        <f t="shared" si="5"/>
        <v>2.5557358407939379E-3</v>
      </c>
      <c r="E170" s="179">
        <v>31.29</v>
      </c>
      <c r="F170">
        <f t="shared" si="6"/>
        <v>-9.183027232425589E-3</v>
      </c>
      <c r="H170" s="179"/>
      <c r="R170" s="199">
        <v>41878</v>
      </c>
      <c r="S170" s="180">
        <v>4.2919999999999998</v>
      </c>
    </row>
    <row r="171" spans="2:19">
      <c r="B171" s="198">
        <v>43882</v>
      </c>
      <c r="C171" s="178">
        <v>76523.08</v>
      </c>
      <c r="D171">
        <f t="shared" si="5"/>
        <v>-3.4013485838566559E-3</v>
      </c>
      <c r="E171" s="179">
        <v>31.05</v>
      </c>
      <c r="F171">
        <f t="shared" si="6"/>
        <v>-7.6701821668264669E-3</v>
      </c>
      <c r="H171" s="179"/>
      <c r="R171" s="199">
        <v>41879</v>
      </c>
      <c r="S171" s="180">
        <v>4.2919999999999998</v>
      </c>
    </row>
    <row r="172" spans="2:19">
      <c r="B172" s="198">
        <v>43885</v>
      </c>
      <c r="C172" s="178">
        <v>74856.89</v>
      </c>
      <c r="D172">
        <f t="shared" si="5"/>
        <v>-2.1773692329164041E-2</v>
      </c>
      <c r="E172" s="179">
        <v>30.6</v>
      </c>
      <c r="F172">
        <f t="shared" si="6"/>
        <v>-1.4492753623188359E-2</v>
      </c>
      <c r="H172" s="179"/>
      <c r="R172" s="199">
        <v>41880</v>
      </c>
      <c r="S172" s="180">
        <v>4.2919999999999998</v>
      </c>
    </row>
    <row r="173" spans="2:19">
      <c r="B173" s="198">
        <v>43886</v>
      </c>
      <c r="C173" s="178">
        <v>73702.91</v>
      </c>
      <c r="D173">
        <f t="shared" si="5"/>
        <v>-1.5415815431284896E-2</v>
      </c>
      <c r="E173" s="179">
        <v>29.94</v>
      </c>
      <c r="F173">
        <f t="shared" si="6"/>
        <v>-2.1568627450980427E-2</v>
      </c>
      <c r="H173" s="179"/>
      <c r="R173" s="199">
        <v>41883</v>
      </c>
      <c r="S173" s="180">
        <v>4.2919999999999998</v>
      </c>
    </row>
    <row r="174" spans="2:19">
      <c r="B174" s="198">
        <v>43887</v>
      </c>
      <c r="C174" s="178">
        <v>72025.73</v>
      </c>
      <c r="D174">
        <f t="shared" si="5"/>
        <v>-2.2755953598033063E-2</v>
      </c>
      <c r="E174" s="179">
        <v>29.5</v>
      </c>
      <c r="F174">
        <f t="shared" si="6"/>
        <v>-1.4696058784235189E-2</v>
      </c>
      <c r="H174" s="179"/>
      <c r="R174" s="199">
        <v>41884</v>
      </c>
      <c r="S174" s="180">
        <v>4.2919999999999998</v>
      </c>
    </row>
    <row r="175" spans="2:19">
      <c r="B175" s="198">
        <v>43888</v>
      </c>
      <c r="C175" s="178">
        <v>71488.84</v>
      </c>
      <c r="D175">
        <f t="shared" si="5"/>
        <v>-7.4541417351826622E-3</v>
      </c>
      <c r="E175" s="179">
        <v>29.4</v>
      </c>
      <c r="F175">
        <f t="shared" si="6"/>
        <v>-3.3898305084746339E-3</v>
      </c>
      <c r="H175" s="179"/>
      <c r="R175" s="199">
        <v>41885</v>
      </c>
      <c r="S175" s="180">
        <v>4.2919999999999998</v>
      </c>
    </row>
    <row r="176" spans="2:19">
      <c r="B176" s="198">
        <v>43889</v>
      </c>
      <c r="C176" s="178">
        <v>69106.34</v>
      </c>
      <c r="D176">
        <f t="shared" si="5"/>
        <v>-3.3326880111636981E-2</v>
      </c>
      <c r="E176" s="179">
        <v>28.8</v>
      </c>
      <c r="F176">
        <f t="shared" si="6"/>
        <v>-2.0408163265306034E-2</v>
      </c>
      <c r="H176" s="179"/>
      <c r="R176" s="199">
        <v>41886</v>
      </c>
      <c r="S176" s="180">
        <v>4.2919999999999998</v>
      </c>
    </row>
    <row r="177" spans="2:19">
      <c r="B177" s="198">
        <v>43892</v>
      </c>
      <c r="C177" s="178">
        <v>68679.47</v>
      </c>
      <c r="D177">
        <f t="shared" si="5"/>
        <v>-6.177001994317699E-3</v>
      </c>
      <c r="E177" s="179">
        <v>28.83</v>
      </c>
      <c r="F177">
        <f t="shared" si="6"/>
        <v>1.0416666666666075E-3</v>
      </c>
      <c r="H177" s="179"/>
      <c r="R177" s="199">
        <v>41887</v>
      </c>
      <c r="S177" s="180">
        <v>4.2919999999999998</v>
      </c>
    </row>
    <row r="178" spans="2:19">
      <c r="B178" s="198">
        <v>43893</v>
      </c>
      <c r="C178" s="178">
        <v>69239.83</v>
      </c>
      <c r="D178">
        <f t="shared" si="5"/>
        <v>8.1590612158188858E-3</v>
      </c>
      <c r="E178" s="179">
        <v>29.52</v>
      </c>
      <c r="F178">
        <f t="shared" si="6"/>
        <v>2.3933402705515139E-2</v>
      </c>
      <c r="H178" s="179"/>
      <c r="R178" s="199">
        <v>41890</v>
      </c>
      <c r="S178" s="180">
        <v>4.2919999999999998</v>
      </c>
    </row>
    <row r="179" spans="2:19">
      <c r="B179" s="198">
        <v>43894</v>
      </c>
      <c r="C179" s="178">
        <v>68073.009999999995</v>
      </c>
      <c r="D179">
        <f t="shared" si="5"/>
        <v>-1.6851861132530344E-2</v>
      </c>
      <c r="E179" s="179">
        <v>29.3</v>
      </c>
      <c r="F179">
        <f t="shared" si="6"/>
        <v>-7.4525745257452147E-3</v>
      </c>
      <c r="H179" s="179"/>
      <c r="R179" s="199">
        <v>41891</v>
      </c>
      <c r="S179" s="180">
        <v>4.2919999999999998</v>
      </c>
    </row>
    <row r="180" spans="2:19">
      <c r="B180" s="198">
        <v>43895</v>
      </c>
      <c r="C180" s="178">
        <v>69053.13</v>
      </c>
      <c r="D180">
        <f t="shared" si="5"/>
        <v>1.4398070542201769E-2</v>
      </c>
      <c r="E180" s="179">
        <v>29.77</v>
      </c>
      <c r="F180">
        <f t="shared" si="6"/>
        <v>1.6040955631399179E-2</v>
      </c>
      <c r="H180" s="179"/>
      <c r="R180" s="199">
        <v>41892</v>
      </c>
      <c r="S180" s="180">
        <v>4.2919999999999998</v>
      </c>
    </row>
    <row r="181" spans="2:19">
      <c r="B181" s="198">
        <v>43896</v>
      </c>
      <c r="C181" s="178">
        <v>67088.490000000005</v>
      </c>
      <c r="D181">
        <f t="shared" si="5"/>
        <v>-2.8451136103461172E-2</v>
      </c>
      <c r="E181" s="179">
        <v>30.78</v>
      </c>
      <c r="F181">
        <f t="shared" si="6"/>
        <v>3.3926771918038279E-2</v>
      </c>
      <c r="H181" s="179"/>
      <c r="R181" s="199">
        <v>41893</v>
      </c>
      <c r="S181" s="180">
        <v>4.2919999999999998</v>
      </c>
    </row>
    <row r="182" spans="2:19">
      <c r="B182" s="198">
        <v>43899</v>
      </c>
      <c r="C182" s="178">
        <v>62137.16</v>
      </c>
      <c r="D182">
        <f t="shared" si="5"/>
        <v>-7.3802972760305119E-2</v>
      </c>
      <c r="E182" s="179">
        <v>29.57</v>
      </c>
      <c r="F182">
        <f t="shared" si="6"/>
        <v>-3.9311241065627112E-2</v>
      </c>
      <c r="H182" s="179"/>
      <c r="R182" s="199">
        <v>41894</v>
      </c>
      <c r="S182" s="180">
        <v>4.2919999999999998</v>
      </c>
    </row>
    <row r="183" spans="2:19">
      <c r="B183" s="198">
        <v>43900</v>
      </c>
      <c r="C183" s="178">
        <v>63996.56</v>
      </c>
      <c r="D183">
        <f t="shared" si="5"/>
        <v>2.9924122698880895E-2</v>
      </c>
      <c r="E183" s="179">
        <v>30.42</v>
      </c>
      <c r="F183">
        <f t="shared" si="6"/>
        <v>2.8745350016909033E-2</v>
      </c>
      <c r="H183" s="179"/>
      <c r="R183" s="199">
        <v>41897</v>
      </c>
      <c r="S183" s="180">
        <v>4.2919999999999998</v>
      </c>
    </row>
    <row r="184" spans="2:19">
      <c r="B184" s="198">
        <v>43901</v>
      </c>
      <c r="C184" s="178">
        <v>61827.46</v>
      </c>
      <c r="D184">
        <f t="shared" si="5"/>
        <v>-3.3894009303000017E-2</v>
      </c>
      <c r="E184" s="179">
        <v>29.83</v>
      </c>
      <c r="F184">
        <f t="shared" si="6"/>
        <v>-1.93951347797503E-2</v>
      </c>
      <c r="H184" s="179"/>
      <c r="R184" s="199">
        <v>41898</v>
      </c>
      <c r="S184" s="180">
        <v>4.2919999999999998</v>
      </c>
    </row>
    <row r="185" spans="2:19">
      <c r="B185" s="198">
        <v>43902</v>
      </c>
      <c r="C185" s="178">
        <v>57361.52</v>
      </c>
      <c r="D185">
        <f t="shared" si="5"/>
        <v>-7.2232305839508903E-2</v>
      </c>
      <c r="E185" s="179">
        <v>27.59</v>
      </c>
      <c r="F185">
        <f t="shared" si="6"/>
        <v>-7.509218907140458E-2</v>
      </c>
      <c r="H185" s="179"/>
      <c r="R185" s="199">
        <v>41899</v>
      </c>
      <c r="S185" s="180">
        <v>4.2919999999999998</v>
      </c>
    </row>
    <row r="186" spans="2:19">
      <c r="B186" s="198">
        <v>43903</v>
      </c>
      <c r="C186" s="178">
        <v>59724.61</v>
      </c>
      <c r="D186">
        <f t="shared" si="5"/>
        <v>4.1196432730513433E-2</v>
      </c>
      <c r="E186" s="179">
        <v>29.01</v>
      </c>
      <c r="F186">
        <f t="shared" si="6"/>
        <v>5.1467923160565476E-2</v>
      </c>
      <c r="H186" s="179"/>
      <c r="R186" s="199">
        <v>41900</v>
      </c>
      <c r="S186" s="180">
        <v>4.2919999999999998</v>
      </c>
    </row>
    <row r="187" spans="2:19">
      <c r="B187" s="198">
        <v>43906</v>
      </c>
      <c r="C187" s="178">
        <v>54037.47</v>
      </c>
      <c r="D187">
        <f t="shared" si="5"/>
        <v>-9.5222723095219841E-2</v>
      </c>
      <c r="E187" s="179">
        <v>27.44</v>
      </c>
      <c r="F187">
        <f t="shared" si="6"/>
        <v>-5.4119269217511201E-2</v>
      </c>
      <c r="H187" s="179"/>
      <c r="R187" s="199">
        <v>41901</v>
      </c>
      <c r="S187" s="180">
        <v>4.2919999999999998</v>
      </c>
    </row>
    <row r="188" spans="2:19">
      <c r="B188" s="198">
        <v>43907</v>
      </c>
      <c r="C188" s="178">
        <v>56973.08</v>
      </c>
      <c r="D188">
        <f t="shared" si="5"/>
        <v>5.4325452320399092E-2</v>
      </c>
      <c r="E188" s="179">
        <v>29.31</v>
      </c>
      <c r="F188">
        <f t="shared" si="6"/>
        <v>6.8148688046647088E-2</v>
      </c>
      <c r="H188" s="179"/>
      <c r="R188" s="199">
        <v>41904</v>
      </c>
      <c r="S188" s="180">
        <v>4.2919999999999998</v>
      </c>
    </row>
    <row r="189" spans="2:19">
      <c r="B189" s="198">
        <v>43908</v>
      </c>
      <c r="C189" s="178">
        <v>53406.77</v>
      </c>
      <c r="D189">
        <f t="shared" si="5"/>
        <v>-6.259640517942866E-2</v>
      </c>
      <c r="E189" s="179">
        <v>26.53</v>
      </c>
      <c r="F189">
        <f t="shared" si="6"/>
        <v>-9.4848174684407982E-2</v>
      </c>
      <c r="H189" s="179"/>
      <c r="R189" s="199">
        <v>41905</v>
      </c>
      <c r="S189" s="180">
        <v>4.2919999999999998</v>
      </c>
    </row>
    <row r="190" spans="2:19">
      <c r="B190" s="198">
        <v>43909</v>
      </c>
      <c r="C190" s="178">
        <v>51392.63</v>
      </c>
      <c r="D190">
        <f t="shared" si="5"/>
        <v>-3.7713196285789174E-2</v>
      </c>
      <c r="E190" s="179">
        <v>24.78</v>
      </c>
      <c r="F190">
        <f t="shared" si="6"/>
        <v>-6.5963060686015873E-2</v>
      </c>
      <c r="H190" s="179"/>
      <c r="R190" s="199">
        <v>41906</v>
      </c>
      <c r="S190" s="180">
        <v>4.2919999999999998</v>
      </c>
    </row>
    <row r="191" spans="2:19">
      <c r="B191" s="198">
        <v>43910</v>
      </c>
      <c r="C191" s="178">
        <v>51872.69</v>
      </c>
      <c r="D191">
        <f t="shared" si="5"/>
        <v>9.3410280812638025E-3</v>
      </c>
      <c r="E191" s="179">
        <v>21.67</v>
      </c>
      <c r="F191">
        <f t="shared" si="6"/>
        <v>-0.12550443906376108</v>
      </c>
      <c r="H191" s="179"/>
      <c r="R191" s="199">
        <v>41907</v>
      </c>
      <c r="S191" s="180">
        <v>4.2919999999999998</v>
      </c>
    </row>
    <row r="192" spans="2:19">
      <c r="B192" s="198">
        <v>43913</v>
      </c>
      <c r="C192" s="178">
        <v>48772.09</v>
      </c>
      <c r="D192">
        <f t="shared" si="5"/>
        <v>-5.9773264120291492E-2</v>
      </c>
      <c r="E192" s="179">
        <v>23.04</v>
      </c>
      <c r="F192">
        <f t="shared" si="6"/>
        <v>6.3221042916474346E-2</v>
      </c>
      <c r="H192" s="179"/>
      <c r="R192" s="199">
        <v>41908</v>
      </c>
      <c r="S192" s="180">
        <v>4.2919999999999998</v>
      </c>
    </row>
    <row r="193" spans="2:19">
      <c r="B193" s="198">
        <v>43914</v>
      </c>
      <c r="C193" s="178">
        <v>50802.720000000001</v>
      </c>
      <c r="D193">
        <f t="shared" si="5"/>
        <v>4.1635082687660141E-2</v>
      </c>
      <c r="E193" s="179">
        <v>21.98</v>
      </c>
      <c r="F193">
        <f t="shared" si="6"/>
        <v>-4.600694444444442E-2</v>
      </c>
      <c r="H193" s="179"/>
      <c r="R193" s="199">
        <v>41911</v>
      </c>
      <c r="S193" s="180">
        <v>4.2919999999999998</v>
      </c>
    </row>
    <row r="194" spans="2:19">
      <c r="B194" s="198">
        <v>43915</v>
      </c>
      <c r="C194" s="178">
        <v>53510.57</v>
      </c>
      <c r="D194">
        <f t="shared" si="5"/>
        <v>5.3301279931468271E-2</v>
      </c>
      <c r="E194" s="179">
        <v>22.6</v>
      </c>
      <c r="F194">
        <f t="shared" si="6"/>
        <v>2.8207461328480399E-2</v>
      </c>
      <c r="H194" s="179"/>
      <c r="R194" s="199">
        <v>41912</v>
      </c>
      <c r="S194" s="180">
        <v>4.2919999999999998</v>
      </c>
    </row>
    <row r="195" spans="2:19">
      <c r="B195" s="198">
        <v>43916</v>
      </c>
      <c r="C195" s="178">
        <v>54890.63</v>
      </c>
      <c r="D195">
        <f t="shared" si="5"/>
        <v>2.5790418603277798E-2</v>
      </c>
      <c r="E195" s="179">
        <v>24.82</v>
      </c>
      <c r="F195">
        <f t="shared" si="6"/>
        <v>9.823008849557513E-2</v>
      </c>
      <c r="H195" s="179"/>
      <c r="R195" s="199">
        <v>41913</v>
      </c>
      <c r="S195" s="180">
        <v>4.2919999999999998</v>
      </c>
    </row>
    <row r="196" spans="2:19">
      <c r="B196" s="198">
        <v>43917</v>
      </c>
      <c r="C196" s="178">
        <v>52099.33</v>
      </c>
      <c r="D196">
        <f t="shared" si="5"/>
        <v>-5.085203066534294E-2</v>
      </c>
      <c r="E196" s="179">
        <v>22.65</v>
      </c>
      <c r="F196">
        <f t="shared" si="6"/>
        <v>-8.7429492344883175E-2</v>
      </c>
      <c r="H196" s="179"/>
      <c r="R196" s="199">
        <v>41914</v>
      </c>
      <c r="S196" s="180">
        <v>4.2919999999999998</v>
      </c>
    </row>
    <row r="197" spans="2:19">
      <c r="B197" s="198">
        <v>43920</v>
      </c>
      <c r="C197" s="178">
        <v>55524.02</v>
      </c>
      <c r="D197">
        <f t="shared" si="5"/>
        <v>6.5733858765554043E-2</v>
      </c>
      <c r="E197" s="179">
        <v>24.48</v>
      </c>
      <c r="F197">
        <f t="shared" si="6"/>
        <v>8.079470198675498E-2</v>
      </c>
      <c r="H197" s="179"/>
      <c r="R197" s="199">
        <v>41915</v>
      </c>
      <c r="S197" s="180">
        <v>4.2919999999999998</v>
      </c>
    </row>
    <row r="198" spans="2:19">
      <c r="B198" s="198">
        <v>43921</v>
      </c>
      <c r="C198" s="178">
        <v>54633.83</v>
      </c>
      <c r="D198">
        <f t="shared" si="5"/>
        <v>-1.6032520700050124E-2</v>
      </c>
      <c r="E198" s="179">
        <v>24.33</v>
      </c>
      <c r="F198">
        <f t="shared" si="6"/>
        <v>-6.1274509803922461E-3</v>
      </c>
      <c r="H198" s="179"/>
      <c r="R198" s="199">
        <v>41918</v>
      </c>
      <c r="S198" s="180">
        <v>4.2919999999999998</v>
      </c>
    </row>
    <row r="199" spans="2:19">
      <c r="B199" s="198">
        <v>43922</v>
      </c>
      <c r="C199" s="178">
        <v>56560.27</v>
      </c>
      <c r="D199">
        <f t="shared" si="5"/>
        <v>3.5260936309974955E-2</v>
      </c>
      <c r="E199" s="179">
        <v>24.6</v>
      </c>
      <c r="F199">
        <f t="shared" si="6"/>
        <v>1.1097410604192559E-2</v>
      </c>
      <c r="H199" s="179"/>
      <c r="R199" s="199">
        <v>41919</v>
      </c>
      <c r="S199" s="180">
        <v>4.2919999999999998</v>
      </c>
    </row>
    <row r="200" spans="2:19">
      <c r="B200" s="198">
        <v>43923</v>
      </c>
      <c r="C200" s="178">
        <v>55469.27</v>
      </c>
      <c r="D200">
        <f t="shared" ref="D200:D263" si="7">(C200/C199)-1</f>
        <v>-1.928915827311295E-2</v>
      </c>
      <c r="E200" s="179">
        <v>23</v>
      </c>
      <c r="F200">
        <f t="shared" ref="F200:F263" si="8">(E200/E199)-1</f>
        <v>-6.5040650406504086E-2</v>
      </c>
      <c r="H200" s="179"/>
      <c r="R200" s="199">
        <v>41920</v>
      </c>
      <c r="S200" s="180">
        <v>4.2919999999999998</v>
      </c>
    </row>
    <row r="201" spans="2:19">
      <c r="B201" s="198">
        <v>43924</v>
      </c>
      <c r="C201" s="178">
        <v>54594.25</v>
      </c>
      <c r="D201">
        <f t="shared" si="7"/>
        <v>-1.5774860566940885E-2</v>
      </c>
      <c r="E201" s="179">
        <v>22.49</v>
      </c>
      <c r="F201">
        <f t="shared" si="8"/>
        <v>-2.2173913043478377E-2</v>
      </c>
      <c r="H201" s="179"/>
      <c r="R201" s="199">
        <v>41921</v>
      </c>
      <c r="S201" s="180">
        <v>4.2919999999999998</v>
      </c>
    </row>
    <row r="202" spans="2:19">
      <c r="B202" s="198">
        <v>43927</v>
      </c>
      <c r="C202" s="178">
        <v>56910.38</v>
      </c>
      <c r="D202">
        <f t="shared" si="7"/>
        <v>4.2424431144305386E-2</v>
      </c>
      <c r="E202" s="179">
        <v>22.55</v>
      </c>
      <c r="F202">
        <f t="shared" si="8"/>
        <v>2.667852378835045E-3</v>
      </c>
      <c r="H202" s="179"/>
      <c r="R202" s="199">
        <v>41922</v>
      </c>
      <c r="S202" s="180">
        <v>4.2919999999999998</v>
      </c>
    </row>
    <row r="203" spans="2:19">
      <c r="B203" s="198">
        <v>43928</v>
      </c>
      <c r="C203" s="178">
        <v>56672.09</v>
      </c>
      <c r="D203">
        <f t="shared" si="7"/>
        <v>-4.1871096274528341E-3</v>
      </c>
      <c r="E203" s="179">
        <v>22.51</v>
      </c>
      <c r="F203">
        <f t="shared" si="8"/>
        <v>-1.7738359201773246E-3</v>
      </c>
      <c r="H203" s="179"/>
      <c r="R203" s="199">
        <v>41925</v>
      </c>
      <c r="S203" s="180">
        <v>4.2919999999999998</v>
      </c>
    </row>
    <row r="204" spans="2:19">
      <c r="B204" s="198">
        <v>43929</v>
      </c>
      <c r="C204" s="178">
        <v>56217.85</v>
      </c>
      <c r="D204">
        <f t="shared" si="7"/>
        <v>-8.015232895063451E-3</v>
      </c>
      <c r="E204" s="179">
        <v>22.1</v>
      </c>
      <c r="F204">
        <f t="shared" si="8"/>
        <v>-1.8214127054642426E-2</v>
      </c>
      <c r="H204" s="179"/>
      <c r="R204" s="199">
        <v>41926</v>
      </c>
      <c r="S204" s="180">
        <v>4.2919999999999998</v>
      </c>
    </row>
    <row r="205" spans="2:19">
      <c r="B205" s="198">
        <v>43930</v>
      </c>
      <c r="C205" s="178">
        <v>58151.79</v>
      </c>
      <c r="D205">
        <f t="shared" si="7"/>
        <v>3.4400817533932759E-2</v>
      </c>
      <c r="E205" s="179">
        <v>22.84</v>
      </c>
      <c r="F205">
        <f t="shared" si="8"/>
        <v>3.3484162895927483E-2</v>
      </c>
      <c r="H205" s="179"/>
      <c r="R205" s="199">
        <v>41927</v>
      </c>
      <c r="S205" s="180">
        <v>4.2919999999999998</v>
      </c>
    </row>
    <row r="206" spans="2:19">
      <c r="B206" s="198">
        <v>43935</v>
      </c>
      <c r="C206" s="178">
        <v>59252.83</v>
      </c>
      <c r="D206">
        <f t="shared" si="7"/>
        <v>1.8933896961727203E-2</v>
      </c>
      <c r="E206" s="179">
        <v>24.38</v>
      </c>
      <c r="F206">
        <f t="shared" si="8"/>
        <v>6.7425569176882583E-2</v>
      </c>
      <c r="H206" s="179"/>
      <c r="R206" s="199">
        <v>41928</v>
      </c>
      <c r="S206" s="180">
        <v>4.2919999999999998</v>
      </c>
    </row>
    <row r="207" spans="2:19">
      <c r="B207" s="198">
        <v>43936</v>
      </c>
      <c r="C207" s="178">
        <v>59048.26</v>
      </c>
      <c r="D207">
        <f t="shared" si="7"/>
        <v>-3.4524933239475919E-3</v>
      </c>
      <c r="E207" s="179">
        <v>25.32</v>
      </c>
      <c r="F207">
        <f t="shared" si="8"/>
        <v>3.8556193601312572E-2</v>
      </c>
      <c r="H207" s="179"/>
      <c r="R207" s="199">
        <v>41929</v>
      </c>
      <c r="S207" s="180">
        <v>4.2919999999999998</v>
      </c>
    </row>
    <row r="208" spans="2:19">
      <c r="B208" s="198">
        <v>43937</v>
      </c>
      <c r="C208" s="178">
        <v>58452.08</v>
      </c>
      <c r="D208">
        <f t="shared" si="7"/>
        <v>-1.0096487178453684E-2</v>
      </c>
      <c r="E208" s="179">
        <v>25.04</v>
      </c>
      <c r="F208">
        <f t="shared" si="8"/>
        <v>-1.1058451816745696E-2</v>
      </c>
      <c r="H208" s="179"/>
      <c r="R208" s="199">
        <v>41932</v>
      </c>
      <c r="S208" s="180">
        <v>4.2919999999999998</v>
      </c>
    </row>
    <row r="209" spans="2:19">
      <c r="B209" s="198">
        <v>43938</v>
      </c>
      <c r="C209" s="178">
        <v>59276.35</v>
      </c>
      <c r="D209">
        <f t="shared" si="7"/>
        <v>1.4101636759547231E-2</v>
      </c>
      <c r="E209" s="179">
        <v>25.25</v>
      </c>
      <c r="F209">
        <f t="shared" si="8"/>
        <v>8.3865814696486574E-3</v>
      </c>
      <c r="H209" s="179"/>
      <c r="R209" s="199">
        <v>41933</v>
      </c>
      <c r="S209" s="180">
        <v>4.2919999999999998</v>
      </c>
    </row>
    <row r="210" spans="2:19">
      <c r="B210" s="198">
        <v>43941</v>
      </c>
      <c r="C210" s="178">
        <v>57889.15</v>
      </c>
      <c r="D210">
        <f t="shared" si="7"/>
        <v>-2.3402250644649958E-2</v>
      </c>
      <c r="E210" s="179">
        <v>25.49</v>
      </c>
      <c r="F210">
        <f t="shared" si="8"/>
        <v>9.5049504950495134E-3</v>
      </c>
      <c r="H210" s="179"/>
      <c r="R210" s="199">
        <v>41934</v>
      </c>
      <c r="S210" s="180">
        <v>4.2919999999999998</v>
      </c>
    </row>
    <row r="211" spans="2:19">
      <c r="B211" s="198">
        <v>43942</v>
      </c>
      <c r="C211" s="178">
        <v>56434.1</v>
      </c>
      <c r="D211">
        <f t="shared" si="7"/>
        <v>-2.5135107356041742E-2</v>
      </c>
      <c r="E211" s="179">
        <v>25.59</v>
      </c>
      <c r="F211">
        <f t="shared" si="8"/>
        <v>3.923107100823886E-3</v>
      </c>
      <c r="H211" s="179"/>
      <c r="R211" s="199">
        <v>41935</v>
      </c>
      <c r="S211" s="180">
        <v>4.2919999999999998</v>
      </c>
    </row>
    <row r="212" spans="2:19">
      <c r="B212" s="198">
        <v>43943</v>
      </c>
      <c r="C212" s="178">
        <v>56384.45</v>
      </c>
      <c r="D212">
        <f t="shared" si="7"/>
        <v>-8.797872208470281E-4</v>
      </c>
      <c r="E212" s="179">
        <v>25.06</v>
      </c>
      <c r="F212">
        <f t="shared" si="8"/>
        <v>-2.0711215318483855E-2</v>
      </c>
      <c r="H212" s="179"/>
      <c r="R212" s="199">
        <v>41936</v>
      </c>
      <c r="S212" s="180">
        <v>4.2919999999999998</v>
      </c>
    </row>
    <row r="213" spans="2:19">
      <c r="B213" s="198">
        <v>43944</v>
      </c>
      <c r="C213" s="178">
        <v>56374.05</v>
      </c>
      <c r="D213">
        <f t="shared" si="7"/>
        <v>-1.8444801713934922E-4</v>
      </c>
      <c r="E213" s="179">
        <v>25</v>
      </c>
      <c r="F213">
        <f t="shared" si="8"/>
        <v>-2.3942537909017458E-3</v>
      </c>
      <c r="H213" s="179"/>
      <c r="R213" s="199">
        <v>41939</v>
      </c>
      <c r="S213" s="180">
        <v>4.2919999999999998</v>
      </c>
    </row>
    <row r="214" spans="2:19">
      <c r="B214" s="198">
        <v>43945</v>
      </c>
      <c r="C214" s="178">
        <v>56672.07</v>
      </c>
      <c r="D214">
        <f t="shared" si="7"/>
        <v>5.2864748940335549E-3</v>
      </c>
      <c r="E214" s="179">
        <v>24.48</v>
      </c>
      <c r="F214">
        <f t="shared" si="8"/>
        <v>-2.079999999999993E-2</v>
      </c>
      <c r="H214" s="179"/>
      <c r="R214" s="199">
        <v>41940</v>
      </c>
      <c r="S214" s="180">
        <v>4.2919999999999998</v>
      </c>
    </row>
    <row r="215" spans="2:19">
      <c r="B215" s="198">
        <v>43948</v>
      </c>
      <c r="C215" s="178">
        <v>57608.91</v>
      </c>
      <c r="D215">
        <f t="shared" si="7"/>
        <v>1.6530894318841804E-2</v>
      </c>
      <c r="E215" s="179">
        <v>25.96</v>
      </c>
      <c r="F215">
        <f t="shared" si="8"/>
        <v>6.0457516339869288E-2</v>
      </c>
      <c r="H215" s="179"/>
      <c r="R215" s="199">
        <v>41941</v>
      </c>
      <c r="S215" s="180">
        <v>4.2919999999999998</v>
      </c>
    </row>
    <row r="216" spans="2:19">
      <c r="B216" s="198">
        <v>43949</v>
      </c>
      <c r="C216" s="178">
        <v>57532.93</v>
      </c>
      <c r="D216">
        <f t="shared" si="7"/>
        <v>-1.3188932059294833E-3</v>
      </c>
      <c r="E216" s="179">
        <v>26.7</v>
      </c>
      <c r="F216">
        <f t="shared" si="8"/>
        <v>2.8505392912172578E-2</v>
      </c>
      <c r="H216" s="179"/>
      <c r="R216" s="199">
        <v>41942</v>
      </c>
      <c r="S216" s="180">
        <v>4.2919999999999998</v>
      </c>
    </row>
    <row r="217" spans="2:19">
      <c r="B217" s="198">
        <v>43950</v>
      </c>
      <c r="C217" s="178">
        <v>58416.14</v>
      </c>
      <c r="D217">
        <f t="shared" si="7"/>
        <v>1.5351382243177891E-2</v>
      </c>
      <c r="E217" s="179">
        <v>26.85</v>
      </c>
      <c r="F217">
        <f t="shared" si="8"/>
        <v>5.6179775280900124E-3</v>
      </c>
      <c r="H217" s="179"/>
      <c r="R217" s="199">
        <v>41943</v>
      </c>
      <c r="S217" s="180">
        <v>4.2919999999999998</v>
      </c>
    </row>
    <row r="218" spans="2:19">
      <c r="B218" s="198">
        <v>43951</v>
      </c>
      <c r="C218" s="178">
        <v>59847.16</v>
      </c>
      <c r="D218">
        <f t="shared" si="7"/>
        <v>2.4496996891612666E-2</v>
      </c>
      <c r="E218" s="179">
        <v>27.19</v>
      </c>
      <c r="F218">
        <f t="shared" si="8"/>
        <v>1.2662942271880917E-2</v>
      </c>
      <c r="H218" s="179"/>
      <c r="R218" s="199">
        <v>41946</v>
      </c>
      <c r="S218" s="180">
        <v>4.2919999999999998</v>
      </c>
    </row>
    <row r="219" spans="2:19">
      <c r="B219" s="198">
        <v>43952</v>
      </c>
      <c r="C219" s="178">
        <v>56962.400000000001</v>
      </c>
      <c r="D219">
        <f t="shared" si="7"/>
        <v>-4.8202120200858345E-2</v>
      </c>
      <c r="E219" s="179">
        <v>26.3</v>
      </c>
      <c r="F219">
        <f t="shared" si="8"/>
        <v>-3.2732622287605762E-2</v>
      </c>
      <c r="H219" s="179"/>
      <c r="R219" s="199">
        <v>41947</v>
      </c>
      <c r="S219" s="180">
        <v>4.2919999999999998</v>
      </c>
    </row>
    <row r="220" spans="2:19">
      <c r="B220" s="198">
        <v>43955</v>
      </c>
      <c r="C220" s="178">
        <v>57652.4</v>
      </c>
      <c r="D220">
        <f t="shared" si="7"/>
        <v>1.2113253655042566E-2</v>
      </c>
      <c r="E220" s="179">
        <v>26.3</v>
      </c>
      <c r="F220">
        <f t="shared" si="8"/>
        <v>0</v>
      </c>
      <c r="H220" s="179"/>
      <c r="R220" s="199">
        <v>41948</v>
      </c>
      <c r="S220" s="180">
        <v>4.2919999999999998</v>
      </c>
    </row>
    <row r="221" spans="2:19">
      <c r="B221" s="198">
        <v>43956</v>
      </c>
      <c r="C221" s="178">
        <v>58600.57</v>
      </c>
      <c r="D221">
        <f t="shared" si="7"/>
        <v>1.6446323136591001E-2</v>
      </c>
      <c r="E221" s="179">
        <v>26.37</v>
      </c>
      <c r="F221">
        <f t="shared" si="8"/>
        <v>2.6615969581749166E-3</v>
      </c>
      <c r="H221" s="179"/>
      <c r="R221" s="199">
        <v>41949</v>
      </c>
      <c r="S221" s="180">
        <v>4.2919999999999998</v>
      </c>
    </row>
    <row r="222" spans="2:19">
      <c r="B222" s="198">
        <v>43957</v>
      </c>
      <c r="C222" s="178">
        <v>58458.84</v>
      </c>
      <c r="D222">
        <f t="shared" si="7"/>
        <v>-2.4185771571847425E-3</v>
      </c>
      <c r="E222" s="179">
        <v>26.02</v>
      </c>
      <c r="F222">
        <f t="shared" si="8"/>
        <v>-1.3272658323852937E-2</v>
      </c>
      <c r="H222" s="179"/>
      <c r="R222" s="199">
        <v>41950</v>
      </c>
      <c r="S222" s="180">
        <v>4.2919999999999998</v>
      </c>
    </row>
    <row r="223" spans="2:19">
      <c r="B223" s="198">
        <v>43958</v>
      </c>
      <c r="C223" s="178">
        <v>58299.24</v>
      </c>
      <c r="D223">
        <f t="shared" si="7"/>
        <v>-2.7301260168692831E-3</v>
      </c>
      <c r="E223" s="179">
        <v>25.86</v>
      </c>
      <c r="F223">
        <f t="shared" si="8"/>
        <v>-6.1491160645656961E-3</v>
      </c>
      <c r="H223" s="179"/>
      <c r="R223" s="199">
        <v>41953</v>
      </c>
      <c r="S223" s="180">
        <v>4.2919999999999998</v>
      </c>
    </row>
    <row r="224" spans="2:19">
      <c r="B224" s="198">
        <v>43959</v>
      </c>
      <c r="C224" s="178">
        <v>58707.09</v>
      </c>
      <c r="D224">
        <f t="shared" si="7"/>
        <v>6.9958030327668119E-3</v>
      </c>
      <c r="E224" s="179">
        <v>25.9</v>
      </c>
      <c r="F224">
        <f t="shared" si="8"/>
        <v>1.5467904098993568E-3</v>
      </c>
      <c r="H224" s="179"/>
      <c r="R224" s="199">
        <v>41954</v>
      </c>
      <c r="S224" s="180">
        <v>4.2919999999999998</v>
      </c>
    </row>
    <row r="225" spans="2:19">
      <c r="B225" s="198">
        <v>43962</v>
      </c>
      <c r="C225" s="178">
        <v>59467.99</v>
      </c>
      <c r="D225">
        <f t="shared" si="7"/>
        <v>1.2960955823223319E-2</v>
      </c>
      <c r="E225" s="179">
        <v>26.46</v>
      </c>
      <c r="F225">
        <f t="shared" si="8"/>
        <v>2.1621621621621623E-2</v>
      </c>
      <c r="H225" s="179"/>
      <c r="R225" s="199">
        <v>41955</v>
      </c>
      <c r="S225" s="180">
        <v>4.2919999999999998</v>
      </c>
    </row>
    <row r="226" spans="2:19">
      <c r="B226" s="198">
        <v>43963</v>
      </c>
      <c r="C226" s="178">
        <v>58806.71</v>
      </c>
      <c r="D226">
        <f t="shared" si="7"/>
        <v>-1.111993191631333E-2</v>
      </c>
      <c r="E226" s="179">
        <v>26.54</v>
      </c>
      <c r="F226">
        <f t="shared" si="8"/>
        <v>3.023431594860071E-3</v>
      </c>
      <c r="H226" s="179"/>
      <c r="R226" s="199">
        <v>41956</v>
      </c>
      <c r="S226" s="180">
        <v>4.2919999999999998</v>
      </c>
    </row>
    <row r="227" spans="2:19">
      <c r="B227" s="198">
        <v>43964</v>
      </c>
      <c r="C227" s="178">
        <v>58982.79</v>
      </c>
      <c r="D227">
        <f t="shared" si="7"/>
        <v>2.9942161362197517E-3</v>
      </c>
      <c r="E227" s="179">
        <v>26.5</v>
      </c>
      <c r="F227">
        <f t="shared" si="8"/>
        <v>-1.5071590052749828E-3</v>
      </c>
      <c r="H227" s="179"/>
      <c r="R227" s="199">
        <v>41957</v>
      </c>
      <c r="S227" s="180">
        <v>4.2919999999999998</v>
      </c>
    </row>
    <row r="228" spans="2:19">
      <c r="B228" s="198">
        <v>43965</v>
      </c>
      <c r="C228" s="178">
        <v>57959.85</v>
      </c>
      <c r="D228">
        <f t="shared" si="7"/>
        <v>-1.7343024973894949E-2</v>
      </c>
      <c r="E228" s="179">
        <v>26.41</v>
      </c>
      <c r="F228">
        <f t="shared" si="8"/>
        <v>-3.3962264150942945E-3</v>
      </c>
      <c r="H228" s="179"/>
      <c r="R228" s="199">
        <v>41960</v>
      </c>
      <c r="S228" s="180">
        <v>4.2919999999999998</v>
      </c>
    </row>
    <row r="229" spans="2:19">
      <c r="B229" s="198">
        <v>43966</v>
      </c>
      <c r="C229" s="178">
        <v>58760.85</v>
      </c>
      <c r="D229">
        <f t="shared" si="7"/>
        <v>1.381991154221418E-2</v>
      </c>
      <c r="E229" s="179">
        <v>27.12</v>
      </c>
      <c r="F229">
        <f t="shared" si="8"/>
        <v>2.6883756152972449E-2</v>
      </c>
      <c r="H229" s="179"/>
      <c r="R229" s="199">
        <v>41961</v>
      </c>
      <c r="S229" s="180">
        <v>4.2919999999999998</v>
      </c>
    </row>
    <row r="230" spans="2:19">
      <c r="B230" s="198">
        <v>43969</v>
      </c>
      <c r="C230" s="178">
        <v>59474.73</v>
      </c>
      <c r="D230">
        <f t="shared" si="7"/>
        <v>1.2148905266006205E-2</v>
      </c>
      <c r="E230" s="179">
        <v>27.13</v>
      </c>
      <c r="F230">
        <f t="shared" si="8"/>
        <v>3.6873156342176472E-4</v>
      </c>
      <c r="H230" s="179"/>
      <c r="R230" s="199">
        <v>41962</v>
      </c>
      <c r="S230" s="180">
        <v>4.2919999999999998</v>
      </c>
    </row>
    <row r="231" spans="2:19">
      <c r="B231" s="198">
        <v>43970</v>
      </c>
      <c r="C231" s="178">
        <v>60559.79</v>
      </c>
      <c r="D231">
        <f t="shared" si="7"/>
        <v>1.8244050876733642E-2</v>
      </c>
      <c r="E231" s="179">
        <v>27.12</v>
      </c>
      <c r="F231">
        <f t="shared" si="8"/>
        <v>-3.6859565057123511E-4</v>
      </c>
      <c r="H231" s="179"/>
      <c r="R231" s="199">
        <v>41963</v>
      </c>
      <c r="S231" s="180">
        <v>4.2919999999999998</v>
      </c>
    </row>
    <row r="232" spans="2:19">
      <c r="B232" s="198">
        <v>43971</v>
      </c>
      <c r="C232" s="178">
        <v>60794.21</v>
      </c>
      <c r="D232">
        <f t="shared" si="7"/>
        <v>3.8708852854343334E-3</v>
      </c>
      <c r="E232" s="179">
        <v>27.18</v>
      </c>
      <c r="F232">
        <f t="shared" si="8"/>
        <v>2.2123893805310324E-3</v>
      </c>
      <c r="H232" s="179"/>
      <c r="R232" s="199">
        <v>41964</v>
      </c>
      <c r="S232" s="180">
        <v>4.2919999999999998</v>
      </c>
    </row>
    <row r="233" spans="2:19">
      <c r="B233" s="198">
        <v>43972</v>
      </c>
      <c r="C233" s="178">
        <v>60589.46</v>
      </c>
      <c r="D233">
        <f t="shared" si="7"/>
        <v>-3.3679194120623812E-3</v>
      </c>
      <c r="E233" s="179">
        <v>27.5</v>
      </c>
      <c r="F233">
        <f t="shared" si="8"/>
        <v>1.1773362766740236E-2</v>
      </c>
      <c r="H233" s="179"/>
      <c r="R233" s="199">
        <v>41967</v>
      </c>
      <c r="S233" s="180">
        <v>4.2919999999999998</v>
      </c>
    </row>
    <row r="234" spans="2:19">
      <c r="B234" s="198">
        <v>43973</v>
      </c>
      <c r="C234" s="178">
        <v>60032.51</v>
      </c>
      <c r="D234">
        <f t="shared" si="7"/>
        <v>-9.1921928335390035E-3</v>
      </c>
      <c r="E234" s="179">
        <v>27.28</v>
      </c>
      <c r="F234">
        <f t="shared" si="8"/>
        <v>-8.0000000000000071E-3</v>
      </c>
      <c r="H234" s="179"/>
      <c r="R234" s="199">
        <v>41968</v>
      </c>
      <c r="S234" s="180">
        <v>4.2919999999999998</v>
      </c>
    </row>
    <row r="235" spans="2:19">
      <c r="B235" s="198">
        <v>43976</v>
      </c>
      <c r="C235" s="178">
        <v>61329.23</v>
      </c>
      <c r="D235">
        <f t="shared" si="7"/>
        <v>2.1600296239487671E-2</v>
      </c>
      <c r="E235" s="179">
        <v>28.19</v>
      </c>
      <c r="F235">
        <f t="shared" si="8"/>
        <v>3.3357771260997149E-2</v>
      </c>
      <c r="H235" s="179"/>
      <c r="R235" s="199">
        <v>41969</v>
      </c>
      <c r="S235" s="180">
        <v>4.2919999999999998</v>
      </c>
    </row>
    <row r="236" spans="2:19">
      <c r="B236" s="198">
        <v>43977</v>
      </c>
      <c r="C236" s="178">
        <v>63041.75</v>
      </c>
      <c r="D236">
        <f t="shared" si="7"/>
        <v>2.7923389874616067E-2</v>
      </c>
      <c r="E236" s="179">
        <v>29</v>
      </c>
      <c r="F236">
        <f t="shared" si="8"/>
        <v>2.8733593472862751E-2</v>
      </c>
      <c r="H236" s="179"/>
      <c r="R236" s="199">
        <v>41970</v>
      </c>
      <c r="S236" s="180">
        <v>4.2919999999999998</v>
      </c>
    </row>
    <row r="237" spans="2:19">
      <c r="B237" s="198">
        <v>43978</v>
      </c>
      <c r="C237" s="178">
        <v>62994.06</v>
      </c>
      <c r="D237">
        <f t="shared" si="7"/>
        <v>-7.5648280702866888E-4</v>
      </c>
      <c r="E237" s="179">
        <v>28.82</v>
      </c>
      <c r="F237">
        <f t="shared" si="8"/>
        <v>-6.2068965517241281E-3</v>
      </c>
      <c r="H237" s="179"/>
      <c r="R237" s="199">
        <v>41971</v>
      </c>
      <c r="S237" s="180">
        <v>4.2919999999999998</v>
      </c>
    </row>
    <row r="238" spans="2:19">
      <c r="B238" s="198">
        <v>43979</v>
      </c>
      <c r="C238" s="178">
        <v>63778.26</v>
      </c>
      <c r="D238">
        <f t="shared" si="7"/>
        <v>1.2448792790939356E-2</v>
      </c>
      <c r="E238" s="179">
        <v>29.21</v>
      </c>
      <c r="F238">
        <f t="shared" si="8"/>
        <v>1.3532269257460205E-2</v>
      </c>
      <c r="H238" s="179"/>
      <c r="R238" s="199">
        <v>41974</v>
      </c>
      <c r="S238" s="180">
        <v>4.2919999999999998</v>
      </c>
    </row>
    <row r="239" spans="2:19">
      <c r="B239" s="198">
        <v>43980</v>
      </c>
      <c r="C239" s="178">
        <v>62861.77</v>
      </c>
      <c r="D239">
        <f t="shared" si="7"/>
        <v>-1.4369943614015224E-2</v>
      </c>
      <c r="E239" s="179">
        <v>28.17</v>
      </c>
      <c r="F239">
        <f t="shared" si="8"/>
        <v>-3.5604245121533706E-2</v>
      </c>
      <c r="H239" s="179"/>
      <c r="R239" s="199">
        <v>41975</v>
      </c>
      <c r="S239" s="180">
        <v>4.2919999999999998</v>
      </c>
    </row>
    <row r="240" spans="2:19">
      <c r="B240" s="198">
        <v>43983</v>
      </c>
      <c r="C240" s="178">
        <v>63570.15</v>
      </c>
      <c r="D240">
        <f t="shared" si="7"/>
        <v>1.1268852276988151E-2</v>
      </c>
      <c r="E240" s="179">
        <v>28.18</v>
      </c>
      <c r="F240">
        <f t="shared" si="8"/>
        <v>3.549875754347287E-4</v>
      </c>
      <c r="H240" s="179"/>
      <c r="R240" s="199">
        <v>41976</v>
      </c>
      <c r="S240" s="180">
        <v>4.2919999999999998</v>
      </c>
    </row>
    <row r="241" spans="2:19">
      <c r="B241" s="198">
        <v>43984</v>
      </c>
      <c r="C241" s="178">
        <v>63802.36</v>
      </c>
      <c r="D241">
        <f t="shared" si="7"/>
        <v>3.6528150397632242E-3</v>
      </c>
      <c r="E241" s="179">
        <v>28.18</v>
      </c>
      <c r="F241">
        <f t="shared" si="8"/>
        <v>0</v>
      </c>
      <c r="H241" s="179"/>
      <c r="R241" s="199">
        <v>41977</v>
      </c>
      <c r="S241" s="180">
        <v>4.2919999999999998</v>
      </c>
    </row>
    <row r="242" spans="2:19">
      <c r="B242" s="198">
        <v>43985</v>
      </c>
      <c r="C242" s="178">
        <v>64924.99</v>
      </c>
      <c r="D242">
        <f t="shared" si="7"/>
        <v>1.7595430639242737E-2</v>
      </c>
      <c r="E242" s="179">
        <v>28.56</v>
      </c>
      <c r="F242">
        <f t="shared" si="8"/>
        <v>1.3484740951029028E-2</v>
      </c>
      <c r="H242" s="179"/>
      <c r="R242" s="199">
        <v>41978</v>
      </c>
      <c r="S242" s="180">
        <v>4.2919999999999998</v>
      </c>
    </row>
    <row r="243" spans="2:19">
      <c r="B243" s="198">
        <v>43986</v>
      </c>
      <c r="C243" s="178">
        <v>65429.01</v>
      </c>
      <c r="D243">
        <f t="shared" si="7"/>
        <v>7.76311247795336E-3</v>
      </c>
      <c r="E243" s="179">
        <v>28.96</v>
      </c>
      <c r="F243">
        <f t="shared" si="8"/>
        <v>1.4005602240896531E-2</v>
      </c>
      <c r="H243" s="179"/>
      <c r="R243" s="199">
        <v>41981</v>
      </c>
      <c r="S243" s="180">
        <v>4.2919999999999998</v>
      </c>
    </row>
    <row r="244" spans="2:19">
      <c r="B244" s="198">
        <v>43987</v>
      </c>
      <c r="C244" s="178">
        <v>65477.75</v>
      </c>
      <c r="D244">
        <f t="shared" si="7"/>
        <v>7.44929504511882E-4</v>
      </c>
      <c r="E244" s="179">
        <v>28.78</v>
      </c>
      <c r="F244">
        <f t="shared" si="8"/>
        <v>-6.2154696132596943E-3</v>
      </c>
      <c r="H244" s="179"/>
      <c r="R244" s="199">
        <v>41982</v>
      </c>
      <c r="S244" s="180">
        <v>4.2919999999999998</v>
      </c>
    </row>
    <row r="245" spans="2:19">
      <c r="B245" s="198">
        <v>43991</v>
      </c>
      <c r="C245" s="178">
        <v>67045.62</v>
      </c>
      <c r="D245">
        <f t="shared" si="7"/>
        <v>2.3945080580807909E-2</v>
      </c>
      <c r="E245" s="179">
        <v>28.89</v>
      </c>
      <c r="F245">
        <f t="shared" si="8"/>
        <v>3.8220986796386747E-3</v>
      </c>
      <c r="H245" s="179"/>
      <c r="R245" s="199">
        <v>41983</v>
      </c>
      <c r="S245" s="180">
        <v>4.2919999999999998</v>
      </c>
    </row>
    <row r="246" spans="2:19">
      <c r="B246" s="198">
        <v>43992</v>
      </c>
      <c r="C246" s="178">
        <v>67114.039999999994</v>
      </c>
      <c r="D246">
        <f t="shared" si="7"/>
        <v>1.020499176530798E-3</v>
      </c>
      <c r="E246" s="179">
        <v>29.23</v>
      </c>
      <c r="F246">
        <f t="shared" si="8"/>
        <v>1.1768778123918411E-2</v>
      </c>
      <c r="H246" s="179"/>
      <c r="R246" s="199">
        <v>41984</v>
      </c>
      <c r="S246" s="180">
        <v>4.2919999999999998</v>
      </c>
    </row>
    <row r="247" spans="2:19">
      <c r="B247" s="198">
        <v>43993</v>
      </c>
      <c r="C247" s="178">
        <v>65082.62</v>
      </c>
      <c r="D247">
        <f t="shared" si="7"/>
        <v>-3.0268182335618454E-2</v>
      </c>
      <c r="E247" s="179">
        <v>28.71</v>
      </c>
      <c r="F247">
        <f t="shared" si="8"/>
        <v>-1.7789941840574697E-2</v>
      </c>
      <c r="H247" s="179"/>
      <c r="R247" s="199">
        <v>41985</v>
      </c>
      <c r="S247" s="180">
        <v>4.2919999999999998</v>
      </c>
    </row>
    <row r="248" spans="2:19">
      <c r="B248" s="198">
        <v>43994</v>
      </c>
      <c r="C248" s="178">
        <v>63802.03</v>
      </c>
      <c r="D248">
        <f t="shared" si="7"/>
        <v>-1.9676374429916987E-2</v>
      </c>
      <c r="E248" s="179">
        <v>28.07</v>
      </c>
      <c r="F248">
        <f t="shared" si="8"/>
        <v>-2.2291884360849945E-2</v>
      </c>
      <c r="H248" s="179"/>
      <c r="R248" s="199">
        <v>41988</v>
      </c>
      <c r="S248" s="180">
        <v>4.2919999999999998</v>
      </c>
    </row>
    <row r="249" spans="2:19">
      <c r="B249" s="198">
        <v>43997</v>
      </c>
      <c r="C249" s="178">
        <v>62411.23</v>
      </c>
      <c r="D249">
        <f t="shared" si="7"/>
        <v>-2.1798679446406233E-2</v>
      </c>
      <c r="E249" s="179">
        <v>27.42</v>
      </c>
      <c r="F249">
        <f t="shared" si="8"/>
        <v>-2.3156394727467E-2</v>
      </c>
      <c r="H249" s="179"/>
      <c r="R249" s="199">
        <v>41989</v>
      </c>
      <c r="S249" s="180">
        <v>4.2919999999999998</v>
      </c>
    </row>
    <row r="250" spans="2:19">
      <c r="B250" s="198">
        <v>43998</v>
      </c>
      <c r="C250" s="178">
        <v>64853.06</v>
      </c>
      <c r="D250">
        <f t="shared" si="7"/>
        <v>3.9124849806677409E-2</v>
      </c>
      <c r="E250" s="179">
        <v>28.64</v>
      </c>
      <c r="F250">
        <f t="shared" si="8"/>
        <v>4.4493070751276287E-2</v>
      </c>
      <c r="H250" s="179"/>
      <c r="R250" s="199">
        <v>41990</v>
      </c>
      <c r="S250" s="180">
        <v>4.2919999999999998</v>
      </c>
    </row>
    <row r="251" spans="2:19">
      <c r="B251" s="198">
        <v>43999</v>
      </c>
      <c r="C251" s="178">
        <v>65398.75</v>
      </c>
      <c r="D251">
        <f t="shared" si="7"/>
        <v>8.414252157107116E-3</v>
      </c>
      <c r="E251" s="179">
        <v>29.09</v>
      </c>
      <c r="F251">
        <f t="shared" si="8"/>
        <v>1.5712290502793325E-2</v>
      </c>
      <c r="H251" s="179"/>
      <c r="R251" s="199">
        <v>41991</v>
      </c>
      <c r="S251" s="180">
        <v>4.2919999999999998</v>
      </c>
    </row>
    <row r="252" spans="2:19">
      <c r="B252" s="198">
        <v>44000</v>
      </c>
      <c r="C252" s="178">
        <v>64787.12</v>
      </c>
      <c r="D252">
        <f t="shared" si="7"/>
        <v>-9.3523194250654251E-3</v>
      </c>
      <c r="E252" s="179">
        <v>28.68</v>
      </c>
      <c r="F252">
        <f t="shared" si="8"/>
        <v>-1.4094190443451393E-2</v>
      </c>
      <c r="H252" s="179"/>
      <c r="R252" s="199">
        <v>41992</v>
      </c>
      <c r="S252" s="180">
        <v>4.2919999999999998</v>
      </c>
    </row>
    <row r="253" spans="2:19">
      <c r="B253" s="198">
        <v>44001</v>
      </c>
      <c r="C253" s="178">
        <v>64891.02</v>
      </c>
      <c r="D253">
        <f t="shared" si="7"/>
        <v>1.6037138245996729E-3</v>
      </c>
      <c r="E253" s="179">
        <v>28.88</v>
      </c>
      <c r="F253">
        <f t="shared" si="8"/>
        <v>6.9735006973501434E-3</v>
      </c>
      <c r="H253" s="179"/>
      <c r="R253" s="199">
        <v>41995</v>
      </c>
      <c r="S253" s="180">
        <v>4.2919999999999998</v>
      </c>
    </row>
    <row r="254" spans="2:19">
      <c r="B254" s="198">
        <v>44004</v>
      </c>
      <c r="C254" s="178">
        <v>64851.88</v>
      </c>
      <c r="D254">
        <f t="shared" si="7"/>
        <v>-6.0316512207692075E-4</v>
      </c>
      <c r="E254" s="179">
        <v>28.89</v>
      </c>
      <c r="F254">
        <f t="shared" si="8"/>
        <v>3.4626038781171431E-4</v>
      </c>
      <c r="H254" s="179"/>
      <c r="R254" s="199">
        <v>41996</v>
      </c>
      <c r="S254" s="180">
        <v>4.2919999999999998</v>
      </c>
    </row>
    <row r="255" spans="2:19">
      <c r="B255" s="198">
        <v>44005</v>
      </c>
      <c r="C255" s="178">
        <v>64972.9</v>
      </c>
      <c r="D255">
        <f t="shared" si="7"/>
        <v>1.8660985618303982E-3</v>
      </c>
      <c r="E255" s="179">
        <v>28.96</v>
      </c>
      <c r="F255">
        <f t="shared" si="8"/>
        <v>2.4229837313949343E-3</v>
      </c>
      <c r="H255" s="179"/>
      <c r="R255" s="199">
        <v>41997</v>
      </c>
      <c r="S255" s="180">
        <v>4.2919999999999998</v>
      </c>
    </row>
    <row r="256" spans="2:19">
      <c r="B256" s="198">
        <v>44006</v>
      </c>
      <c r="C256" s="178">
        <v>65104.22</v>
      </c>
      <c r="D256">
        <f t="shared" si="7"/>
        <v>2.0211503565332745E-3</v>
      </c>
      <c r="E256" s="179">
        <v>30.33</v>
      </c>
      <c r="F256">
        <f t="shared" si="8"/>
        <v>4.7306629834254155E-2</v>
      </c>
      <c r="H256" s="179"/>
      <c r="R256" s="199">
        <v>42002</v>
      </c>
      <c r="S256" s="180">
        <v>4.2919999999999998</v>
      </c>
    </row>
    <row r="257" spans="2:19">
      <c r="B257" s="198">
        <v>44007</v>
      </c>
      <c r="C257" s="178">
        <v>63460.17</v>
      </c>
      <c r="D257">
        <f t="shared" si="7"/>
        <v>-2.5252587313080554E-2</v>
      </c>
      <c r="E257" s="179">
        <v>30.2</v>
      </c>
      <c r="F257">
        <f t="shared" si="8"/>
        <v>-4.2861852950872859E-3</v>
      </c>
      <c r="H257" s="179"/>
      <c r="R257" s="199">
        <v>42003</v>
      </c>
      <c r="S257" s="180">
        <v>4.2919999999999998</v>
      </c>
    </row>
    <row r="258" spans="2:19">
      <c r="B258" s="198">
        <v>44008</v>
      </c>
      <c r="C258" s="178">
        <v>64357.54</v>
      </c>
      <c r="D258">
        <f t="shared" si="7"/>
        <v>1.414068068207186E-2</v>
      </c>
      <c r="E258" s="179">
        <v>30.28</v>
      </c>
      <c r="F258">
        <f t="shared" si="8"/>
        <v>2.6490066225166586E-3</v>
      </c>
      <c r="H258" s="179"/>
      <c r="R258" s="199">
        <v>42004</v>
      </c>
      <c r="S258" s="180">
        <v>4.2919999999999998</v>
      </c>
    </row>
    <row r="259" spans="2:19">
      <c r="B259" s="198">
        <v>44011</v>
      </c>
      <c r="C259" s="178">
        <v>63412.87</v>
      </c>
      <c r="D259">
        <f t="shared" si="7"/>
        <v>-1.4678466579051919E-2</v>
      </c>
      <c r="E259" s="179">
        <v>30.28</v>
      </c>
      <c r="F259">
        <f t="shared" si="8"/>
        <v>0</v>
      </c>
      <c r="H259" s="179"/>
      <c r="R259" s="199">
        <v>42006</v>
      </c>
      <c r="S259" s="180">
        <v>4.2919999999999998</v>
      </c>
    </row>
    <row r="260" spans="2:19">
      <c r="B260" s="198">
        <v>44012</v>
      </c>
      <c r="C260" s="178">
        <v>64331.67</v>
      </c>
      <c r="D260">
        <f t="shared" si="7"/>
        <v>1.4489172308397302E-2</v>
      </c>
      <c r="E260" s="179">
        <v>30.43</v>
      </c>
      <c r="F260">
        <f t="shared" si="8"/>
        <v>4.9537648612945073E-3</v>
      </c>
      <c r="H260" s="179"/>
      <c r="R260" s="199">
        <v>42009</v>
      </c>
      <c r="S260" s="180">
        <v>4.2919999999999998</v>
      </c>
    </row>
    <row r="261" spans="2:19">
      <c r="B261" s="198">
        <v>44013</v>
      </c>
      <c r="C261" s="178">
        <v>64757.25</v>
      </c>
      <c r="D261">
        <f t="shared" si="7"/>
        <v>6.6154042013832903E-3</v>
      </c>
      <c r="E261" s="179">
        <v>30.32</v>
      </c>
      <c r="F261">
        <f t="shared" si="8"/>
        <v>-3.6148537627340716E-3</v>
      </c>
      <c r="H261" s="179"/>
      <c r="R261" s="199">
        <v>42010</v>
      </c>
      <c r="S261" s="180">
        <v>4.2919999999999998</v>
      </c>
    </row>
    <row r="262" spans="2:19">
      <c r="B262" s="198">
        <v>44014</v>
      </c>
      <c r="C262" s="178">
        <v>65842.95</v>
      </c>
      <c r="D262">
        <f t="shared" si="7"/>
        <v>1.6765690328109928E-2</v>
      </c>
      <c r="E262" s="179">
        <v>30.73</v>
      </c>
      <c r="F262">
        <f t="shared" si="8"/>
        <v>1.3522427440633145E-2</v>
      </c>
      <c r="H262" s="179"/>
      <c r="R262" s="199">
        <v>42011</v>
      </c>
      <c r="S262" s="180">
        <v>4.2919999999999998</v>
      </c>
    </row>
    <row r="263" spans="2:19">
      <c r="B263" s="198">
        <v>44015</v>
      </c>
      <c r="C263" s="178">
        <v>66065.460000000006</v>
      </c>
      <c r="D263">
        <f t="shared" si="7"/>
        <v>3.3794050843714007E-3</v>
      </c>
      <c r="E263" s="179">
        <v>31.21</v>
      </c>
      <c r="F263">
        <f t="shared" si="8"/>
        <v>1.5619915392125039E-2</v>
      </c>
      <c r="H263" s="179"/>
      <c r="R263" s="199">
        <v>42012</v>
      </c>
      <c r="S263" s="180">
        <v>4.2919999999999998</v>
      </c>
    </row>
    <row r="264" spans="2:19">
      <c r="B264" s="198">
        <v>44018</v>
      </c>
      <c r="C264" s="178">
        <v>65660.33</v>
      </c>
      <c r="D264">
        <f t="shared" ref="D264:D327" si="9">(C264/C263)-1</f>
        <v>-6.1322512550431307E-3</v>
      </c>
      <c r="E264" s="179">
        <v>31.01</v>
      </c>
      <c r="F264">
        <f t="shared" ref="F264:F327" si="10">(E264/E263)-1</f>
        <v>-6.4082024991989339E-3</v>
      </c>
      <c r="H264" s="179"/>
      <c r="R264" s="199">
        <v>42013</v>
      </c>
      <c r="S264" s="180">
        <v>4.2919999999999998</v>
      </c>
    </row>
    <row r="265" spans="2:19">
      <c r="B265" s="198">
        <v>44019</v>
      </c>
      <c r="C265" s="178">
        <v>65672.61</v>
      </c>
      <c r="D265">
        <f t="shared" si="9"/>
        <v>1.8702312339891058E-4</v>
      </c>
      <c r="E265" s="179">
        <v>31.34</v>
      </c>
      <c r="F265">
        <f t="shared" si="10"/>
        <v>1.0641728474685586E-2</v>
      </c>
      <c r="H265" s="179"/>
      <c r="R265" s="199">
        <v>42016</v>
      </c>
      <c r="S265" s="180">
        <v>4.2919999999999998</v>
      </c>
    </row>
    <row r="266" spans="2:19">
      <c r="B266" s="198">
        <v>44020</v>
      </c>
      <c r="C266" s="178">
        <v>64681.95</v>
      </c>
      <c r="D266">
        <f t="shared" si="9"/>
        <v>-1.508482760164398E-2</v>
      </c>
      <c r="E266" s="179">
        <v>31.03</v>
      </c>
      <c r="F266">
        <f t="shared" si="10"/>
        <v>-9.8915124441607549E-3</v>
      </c>
      <c r="H266" s="179"/>
      <c r="R266" s="199">
        <v>42017</v>
      </c>
      <c r="S266" s="180">
        <v>4.2919999999999998</v>
      </c>
    </row>
    <row r="267" spans="2:19">
      <c r="B267" s="198">
        <v>44021</v>
      </c>
      <c r="C267" s="178">
        <v>65117.4</v>
      </c>
      <c r="D267">
        <f t="shared" si="9"/>
        <v>6.7321718037258726E-3</v>
      </c>
      <c r="E267" s="179">
        <v>30.9</v>
      </c>
      <c r="F267">
        <f t="shared" si="10"/>
        <v>-4.1894940380278189E-3</v>
      </c>
      <c r="H267" s="179"/>
      <c r="R267" s="199">
        <v>42018</v>
      </c>
      <c r="S267" s="180">
        <v>4.2919999999999998</v>
      </c>
    </row>
    <row r="268" spans="2:19">
      <c r="B268" s="198">
        <v>44022</v>
      </c>
      <c r="C268" s="178">
        <v>64703</v>
      </c>
      <c r="D268">
        <f t="shared" si="9"/>
        <v>-6.3638904501716054E-3</v>
      </c>
      <c r="E268" s="179">
        <v>30.9</v>
      </c>
      <c r="F268">
        <f t="shared" si="10"/>
        <v>0</v>
      </c>
      <c r="H268" s="179"/>
      <c r="R268" s="199">
        <v>42019</v>
      </c>
      <c r="S268" s="180">
        <v>4.2919999999999998</v>
      </c>
    </row>
    <row r="269" spans="2:19">
      <c r="B269" s="198">
        <v>44025</v>
      </c>
      <c r="C269" s="178">
        <v>65271.05</v>
      </c>
      <c r="D269">
        <f t="shared" si="9"/>
        <v>8.7793456253961732E-3</v>
      </c>
      <c r="E269" s="179">
        <v>30.51</v>
      </c>
      <c r="F269">
        <f t="shared" si="10"/>
        <v>-1.2621359223300876E-2</v>
      </c>
      <c r="H269" s="179"/>
      <c r="R269" s="199">
        <v>42020</v>
      </c>
      <c r="S269" s="180">
        <v>4.2919999999999998</v>
      </c>
    </row>
    <row r="270" spans="2:19">
      <c r="B270" s="198">
        <v>44026</v>
      </c>
      <c r="C270" s="178">
        <v>64801.88</v>
      </c>
      <c r="D270">
        <f t="shared" si="9"/>
        <v>-7.1880259318641837E-3</v>
      </c>
      <c r="E270" s="179">
        <v>30.84</v>
      </c>
      <c r="F270">
        <f t="shared" si="10"/>
        <v>1.0816125860373615E-2</v>
      </c>
      <c r="H270" s="179"/>
      <c r="R270" s="199">
        <v>42023</v>
      </c>
      <c r="S270" s="180">
        <v>4.2919999999999998</v>
      </c>
    </row>
    <row r="271" spans="2:19">
      <c r="B271" s="198">
        <v>44027</v>
      </c>
      <c r="C271" s="178">
        <v>66033.48</v>
      </c>
      <c r="D271">
        <f t="shared" si="9"/>
        <v>1.9005621441847032E-2</v>
      </c>
      <c r="E271" s="179">
        <v>31.38</v>
      </c>
      <c r="F271">
        <f t="shared" si="10"/>
        <v>1.7509727626459082E-2</v>
      </c>
      <c r="H271" s="179"/>
      <c r="R271" s="199">
        <v>42024</v>
      </c>
      <c r="S271" s="180">
        <v>4.2919999999999998</v>
      </c>
    </row>
    <row r="272" spans="2:19">
      <c r="B272" s="198">
        <v>44028</v>
      </c>
      <c r="C272" s="178">
        <v>65633.100000000006</v>
      </c>
      <c r="D272">
        <f t="shared" si="9"/>
        <v>-6.0632878957763703E-3</v>
      </c>
      <c r="E272" s="179">
        <v>31.28</v>
      </c>
      <c r="F272">
        <f t="shared" si="10"/>
        <v>-3.1867431485022024E-3</v>
      </c>
      <c r="H272" s="179"/>
      <c r="R272" s="199">
        <v>42025</v>
      </c>
      <c r="S272" s="180">
        <v>4.2919999999999998</v>
      </c>
    </row>
    <row r="273" spans="2:19">
      <c r="B273" s="198">
        <v>44029</v>
      </c>
      <c r="C273" s="178">
        <v>65867.5</v>
      </c>
      <c r="D273">
        <f t="shared" si="9"/>
        <v>3.5713687148708484E-3</v>
      </c>
      <c r="E273" s="179">
        <v>31.41</v>
      </c>
      <c r="F273">
        <f t="shared" si="10"/>
        <v>4.1560102301789748E-3</v>
      </c>
      <c r="H273" s="179"/>
      <c r="R273" s="199">
        <v>42026</v>
      </c>
      <c r="S273" s="180">
        <v>4.2919999999999998</v>
      </c>
    </row>
    <row r="274" spans="2:19">
      <c r="B274" s="198">
        <v>44032</v>
      </c>
      <c r="C274" s="178">
        <v>65518.36</v>
      </c>
      <c r="D274">
        <f t="shared" si="9"/>
        <v>-5.3006414392530177E-3</v>
      </c>
      <c r="E274" s="179">
        <v>31.54</v>
      </c>
      <c r="F274">
        <f t="shared" si="10"/>
        <v>4.1388092964023127E-3</v>
      </c>
      <c r="H274" s="179"/>
      <c r="R274" s="199">
        <v>42027</v>
      </c>
      <c r="S274" s="180">
        <v>4.2919999999999998</v>
      </c>
    </row>
    <row r="275" spans="2:19">
      <c r="B275" s="198">
        <v>44033</v>
      </c>
      <c r="C275" s="178">
        <v>67196.100000000006</v>
      </c>
      <c r="D275">
        <f t="shared" si="9"/>
        <v>2.5607173317525156E-2</v>
      </c>
      <c r="E275" s="179">
        <v>32.4</v>
      </c>
      <c r="F275">
        <f t="shared" si="10"/>
        <v>2.7266962587190857E-2</v>
      </c>
      <c r="H275" s="179"/>
      <c r="R275" s="199">
        <v>42031</v>
      </c>
      <c r="S275" s="180">
        <v>4.2919999999999998</v>
      </c>
    </row>
    <row r="276" spans="2:19">
      <c r="B276" s="198">
        <v>44034</v>
      </c>
      <c r="C276" s="178">
        <v>66379.789999999994</v>
      </c>
      <c r="D276">
        <f t="shared" si="9"/>
        <v>-1.2148175266124217E-2</v>
      </c>
      <c r="E276" s="179">
        <v>32.31</v>
      </c>
      <c r="F276">
        <f t="shared" si="10"/>
        <v>-2.7777777777776569E-3</v>
      </c>
      <c r="H276" s="179"/>
      <c r="R276" s="199">
        <v>42032</v>
      </c>
      <c r="S276" s="180">
        <v>4.2919999999999998</v>
      </c>
    </row>
    <row r="277" spans="2:19">
      <c r="B277" s="198">
        <v>44035</v>
      </c>
      <c r="C277" s="178">
        <v>66607.42</v>
      </c>
      <c r="D277">
        <f t="shared" si="9"/>
        <v>3.4292063894749703E-3</v>
      </c>
      <c r="E277" s="179">
        <v>32.590000000000003</v>
      </c>
      <c r="F277">
        <f t="shared" si="10"/>
        <v>8.6660476632622885E-3</v>
      </c>
      <c r="H277" s="179"/>
      <c r="R277" s="199">
        <v>42033</v>
      </c>
      <c r="S277" s="180">
        <v>4.2919999999999998</v>
      </c>
    </row>
    <row r="278" spans="2:19">
      <c r="B278" s="198">
        <v>44036</v>
      </c>
      <c r="C278" s="178">
        <v>65901.38</v>
      </c>
      <c r="D278">
        <f t="shared" si="9"/>
        <v>-1.0600020237985452E-2</v>
      </c>
      <c r="E278" s="179">
        <v>32.049999999999997</v>
      </c>
      <c r="F278">
        <f t="shared" si="10"/>
        <v>-1.656949984657885E-2</v>
      </c>
      <c r="H278" s="179"/>
      <c r="R278" s="199">
        <v>42034</v>
      </c>
      <c r="S278" s="180">
        <v>4.2919999999999998</v>
      </c>
    </row>
    <row r="279" spans="2:19">
      <c r="B279" s="198">
        <v>44039</v>
      </c>
      <c r="C279" s="178">
        <v>66132.820000000007</v>
      </c>
      <c r="D279">
        <f t="shared" si="9"/>
        <v>3.5119143180311063E-3</v>
      </c>
      <c r="E279" s="179">
        <v>31.79</v>
      </c>
      <c r="F279">
        <f t="shared" si="10"/>
        <v>-8.1123244929796057E-3</v>
      </c>
      <c r="H279" s="179"/>
      <c r="R279" s="199">
        <v>42037</v>
      </c>
      <c r="S279" s="180">
        <v>4.2919999999999998</v>
      </c>
    </row>
    <row r="280" spans="2:19">
      <c r="B280" s="198">
        <v>44040</v>
      </c>
      <c r="C280" s="178">
        <v>65888.5</v>
      </c>
      <c r="D280">
        <f t="shared" si="9"/>
        <v>-3.6943835148721682E-3</v>
      </c>
      <c r="E280" s="179">
        <v>31.94</v>
      </c>
      <c r="F280">
        <f t="shared" si="10"/>
        <v>4.7184649260774147E-3</v>
      </c>
      <c r="H280" s="179"/>
      <c r="R280" s="199">
        <v>42038</v>
      </c>
      <c r="S280" s="180">
        <v>4.2919999999999998</v>
      </c>
    </row>
    <row r="281" spans="2:19">
      <c r="B281" s="198">
        <v>44041</v>
      </c>
      <c r="C281" s="178">
        <v>65686.720000000001</v>
      </c>
      <c r="D281">
        <f t="shared" si="9"/>
        <v>-3.0624464056702161E-3</v>
      </c>
      <c r="E281" s="179">
        <v>32.520000000000003</v>
      </c>
      <c r="F281">
        <f t="shared" si="10"/>
        <v>1.8159048215403928E-2</v>
      </c>
      <c r="H281" s="179"/>
      <c r="R281" s="199">
        <v>42039</v>
      </c>
      <c r="S281" s="180">
        <v>4.2919999999999998</v>
      </c>
    </row>
    <row r="282" spans="2:19">
      <c r="B282" s="198">
        <v>44042</v>
      </c>
      <c r="C282" s="178">
        <v>66219.09</v>
      </c>
      <c r="D282">
        <f t="shared" si="9"/>
        <v>8.104682346751213E-3</v>
      </c>
      <c r="E282" s="179">
        <v>32.68</v>
      </c>
      <c r="F282">
        <f t="shared" si="10"/>
        <v>4.9200492004919383E-3</v>
      </c>
      <c r="H282" s="179"/>
      <c r="R282" s="199">
        <v>42040</v>
      </c>
      <c r="S282" s="180">
        <v>4.2919999999999998</v>
      </c>
    </row>
    <row r="283" spans="2:19">
      <c r="B283" s="198">
        <v>44043</v>
      </c>
      <c r="C283" s="178">
        <v>64941.71</v>
      </c>
      <c r="D283">
        <f t="shared" si="9"/>
        <v>-1.9290207702944873E-2</v>
      </c>
      <c r="E283" s="179">
        <v>32.1</v>
      </c>
      <c r="F283">
        <f t="shared" si="10"/>
        <v>-1.7747858017135854E-2</v>
      </c>
      <c r="H283" s="179"/>
      <c r="R283" s="199">
        <v>42041</v>
      </c>
      <c r="S283" s="180">
        <v>4.2919999999999998</v>
      </c>
    </row>
    <row r="284" spans="2:19">
      <c r="B284" s="198">
        <v>44046</v>
      </c>
      <c r="C284" s="178">
        <v>64894.95</v>
      </c>
      <c r="D284">
        <f t="shared" si="9"/>
        <v>-7.2003031641765247E-4</v>
      </c>
      <c r="E284" s="179">
        <v>32.5</v>
      </c>
      <c r="F284">
        <f t="shared" si="10"/>
        <v>1.2461059190031154E-2</v>
      </c>
      <c r="H284" s="179"/>
      <c r="R284" s="199">
        <v>42044</v>
      </c>
      <c r="S284" s="180">
        <v>4.2919999999999998</v>
      </c>
    </row>
    <row r="285" spans="2:19">
      <c r="B285" s="198">
        <v>44047</v>
      </c>
      <c r="C285" s="178">
        <v>66101.34</v>
      </c>
      <c r="D285">
        <f t="shared" si="9"/>
        <v>1.858989027651603E-2</v>
      </c>
      <c r="E285" s="179">
        <v>33.299999999999997</v>
      </c>
      <c r="F285">
        <f t="shared" si="10"/>
        <v>2.4615384615384484E-2</v>
      </c>
      <c r="H285" s="179"/>
      <c r="R285" s="199">
        <v>42045</v>
      </c>
      <c r="S285" s="180">
        <v>4.2919999999999998</v>
      </c>
    </row>
    <row r="286" spans="2:19">
      <c r="B286" s="198">
        <v>44048</v>
      </c>
      <c r="C286" s="178">
        <v>65773.289999999994</v>
      </c>
      <c r="D286">
        <f t="shared" si="9"/>
        <v>-4.9628343389105378E-3</v>
      </c>
      <c r="E286" s="179">
        <v>33.29</v>
      </c>
      <c r="F286">
        <f t="shared" si="10"/>
        <v>-3.0030030030026023E-4</v>
      </c>
      <c r="H286" s="179"/>
      <c r="R286" s="199">
        <v>42046</v>
      </c>
      <c r="S286" s="180">
        <v>4.2919999999999998</v>
      </c>
    </row>
    <row r="287" spans="2:19">
      <c r="B287" s="198">
        <v>44049</v>
      </c>
      <c r="C287" s="178">
        <v>66276.72</v>
      </c>
      <c r="D287">
        <f t="shared" si="9"/>
        <v>7.6540188273994669E-3</v>
      </c>
      <c r="E287" s="179">
        <v>33.22</v>
      </c>
      <c r="F287">
        <f t="shared" si="10"/>
        <v>-2.1027335536196734E-3</v>
      </c>
      <c r="H287" s="179"/>
      <c r="R287" s="199">
        <v>42047</v>
      </c>
      <c r="S287" s="180">
        <v>4.2919999999999998</v>
      </c>
    </row>
    <row r="288" spans="2:19">
      <c r="B288" s="198">
        <v>44050</v>
      </c>
      <c r="C288" s="178">
        <v>65898.320000000007</v>
      </c>
      <c r="D288">
        <f t="shared" si="9"/>
        <v>-5.7093953955476007E-3</v>
      </c>
      <c r="E288" s="179">
        <v>33.119999999999997</v>
      </c>
      <c r="F288">
        <f t="shared" si="10"/>
        <v>-3.0102347983143041E-3</v>
      </c>
      <c r="H288" s="179"/>
      <c r="R288" s="199">
        <v>42048</v>
      </c>
      <c r="S288" s="180">
        <v>4.2919999999999998</v>
      </c>
    </row>
    <row r="289" spans="2:19">
      <c r="B289" s="198">
        <v>44053</v>
      </c>
      <c r="C289" s="178">
        <v>66993.820000000007</v>
      </c>
      <c r="D289">
        <f t="shared" si="9"/>
        <v>1.6624096031583102E-2</v>
      </c>
      <c r="E289" s="179">
        <v>33.880000000000003</v>
      </c>
      <c r="F289">
        <f t="shared" si="10"/>
        <v>2.2946859903381744E-2</v>
      </c>
      <c r="H289" s="179"/>
      <c r="R289" s="199">
        <v>42051</v>
      </c>
      <c r="S289" s="180">
        <v>4.2919999999999998</v>
      </c>
    </row>
    <row r="290" spans="2:19">
      <c r="B290" s="198">
        <v>44054</v>
      </c>
      <c r="C290" s="178">
        <v>67262.33</v>
      </c>
      <c r="D290">
        <f t="shared" si="9"/>
        <v>4.0079816317384331E-3</v>
      </c>
      <c r="E290" s="179">
        <v>34.04</v>
      </c>
      <c r="F290">
        <f t="shared" si="10"/>
        <v>4.7225501770955525E-3</v>
      </c>
      <c r="H290" s="179"/>
      <c r="R290" s="199">
        <v>42052</v>
      </c>
      <c r="S290" s="180">
        <v>4.2919999999999998</v>
      </c>
    </row>
    <row r="291" spans="2:19">
      <c r="B291" s="198">
        <v>44055</v>
      </c>
      <c r="C291" s="178">
        <v>67100.17</v>
      </c>
      <c r="D291">
        <f t="shared" si="9"/>
        <v>-2.410859094533313E-3</v>
      </c>
      <c r="E291" s="179">
        <v>34.130000000000003</v>
      </c>
      <c r="F291">
        <f t="shared" si="10"/>
        <v>2.6439482961222449E-3</v>
      </c>
      <c r="H291" s="179"/>
      <c r="R291" s="199">
        <v>42053</v>
      </c>
      <c r="S291" s="180">
        <v>4.2919999999999998</v>
      </c>
    </row>
    <row r="292" spans="2:19">
      <c r="B292" s="198">
        <v>44056</v>
      </c>
      <c r="C292" s="178">
        <v>66751.509999999995</v>
      </c>
      <c r="D292">
        <f t="shared" si="9"/>
        <v>-5.1961120217728363E-3</v>
      </c>
      <c r="E292" s="179">
        <v>34.380000000000003</v>
      </c>
      <c r="F292">
        <f t="shared" si="10"/>
        <v>7.3249340755934256E-3</v>
      </c>
      <c r="H292" s="179"/>
      <c r="R292" s="199">
        <v>42054</v>
      </c>
      <c r="S292" s="180">
        <v>4.2919999999999998</v>
      </c>
    </row>
    <row r="293" spans="2:19">
      <c r="B293" s="198">
        <v>44057</v>
      </c>
      <c r="C293" s="178">
        <v>67158.2</v>
      </c>
      <c r="D293">
        <f t="shared" si="9"/>
        <v>6.0925962573730175E-3</v>
      </c>
      <c r="E293" s="179">
        <v>34.03</v>
      </c>
      <c r="F293">
        <f t="shared" si="10"/>
        <v>-1.0180337405468309E-2</v>
      </c>
      <c r="H293" s="179"/>
      <c r="R293" s="199">
        <v>42055</v>
      </c>
      <c r="S293" s="180">
        <v>4.2919999999999998</v>
      </c>
    </row>
    <row r="294" spans="2:19">
      <c r="B294" s="198">
        <v>44060</v>
      </c>
      <c r="C294" s="178">
        <v>66702.59</v>
      </c>
      <c r="D294">
        <f t="shared" si="9"/>
        <v>-6.7841306050490102E-3</v>
      </c>
      <c r="E294" s="179">
        <v>33.58</v>
      </c>
      <c r="F294">
        <f t="shared" si="10"/>
        <v>-1.3223626212165773E-2</v>
      </c>
      <c r="H294" s="179"/>
      <c r="R294" s="199">
        <v>42058</v>
      </c>
      <c r="S294" s="180">
        <v>4.2919999999999998</v>
      </c>
    </row>
    <row r="295" spans="2:19">
      <c r="B295" s="198">
        <v>44061</v>
      </c>
      <c r="C295" s="178">
        <v>67245.259999999995</v>
      </c>
      <c r="D295">
        <f t="shared" si="9"/>
        <v>8.1356660963238792E-3</v>
      </c>
      <c r="E295" s="179">
        <v>34.29</v>
      </c>
      <c r="F295">
        <f t="shared" si="10"/>
        <v>2.1143537820131009E-2</v>
      </c>
      <c r="H295" s="179"/>
      <c r="R295" s="199">
        <v>42059</v>
      </c>
      <c r="S295" s="180">
        <v>4.2919999999999998</v>
      </c>
    </row>
    <row r="296" spans="2:19">
      <c r="B296" s="198">
        <v>44062</v>
      </c>
      <c r="C296" s="178">
        <v>67793.62</v>
      </c>
      <c r="D296">
        <f t="shared" si="9"/>
        <v>8.1546268093839469E-3</v>
      </c>
      <c r="E296" s="179">
        <v>34.58</v>
      </c>
      <c r="F296">
        <f t="shared" si="10"/>
        <v>8.4572761738115343E-3</v>
      </c>
      <c r="H296" s="179"/>
      <c r="R296" s="199">
        <v>42060</v>
      </c>
      <c r="S296" s="180">
        <v>4.2919999999999998</v>
      </c>
    </row>
    <row r="297" spans="2:19">
      <c r="B297" s="198">
        <v>44063</v>
      </c>
      <c r="C297" s="178">
        <v>67340.02</v>
      </c>
      <c r="D297">
        <f t="shared" si="9"/>
        <v>-6.6908951019283291E-3</v>
      </c>
      <c r="E297" s="179">
        <v>35.06</v>
      </c>
      <c r="F297">
        <f t="shared" si="10"/>
        <v>1.3880855986119212E-2</v>
      </c>
      <c r="H297" s="179"/>
      <c r="R297" s="199">
        <v>42061</v>
      </c>
      <c r="S297" s="180">
        <v>4.2919999999999998</v>
      </c>
    </row>
    <row r="298" spans="2:19">
      <c r="B298" s="198">
        <v>44064</v>
      </c>
      <c r="C298" s="178">
        <v>67337.460000000006</v>
      </c>
      <c r="D298">
        <f t="shared" si="9"/>
        <v>-3.8016026725262719E-5</v>
      </c>
      <c r="E298" s="179">
        <v>34.619999999999997</v>
      </c>
      <c r="F298">
        <f t="shared" si="10"/>
        <v>-1.2549914432401721E-2</v>
      </c>
      <c r="H298" s="179"/>
      <c r="R298" s="199">
        <v>42062</v>
      </c>
      <c r="S298" s="180">
        <v>4.2919999999999998</v>
      </c>
    </row>
    <row r="299" spans="2:19">
      <c r="B299" s="198">
        <v>44067</v>
      </c>
      <c r="C299" s="178">
        <v>67706.649999999994</v>
      </c>
      <c r="D299">
        <f t="shared" si="9"/>
        <v>5.4826837840331599E-3</v>
      </c>
      <c r="E299" s="179">
        <v>34.479999999999997</v>
      </c>
      <c r="F299">
        <f t="shared" si="10"/>
        <v>-4.0439052570768741E-3</v>
      </c>
      <c r="H299" s="179"/>
      <c r="R299" s="199">
        <v>42065</v>
      </c>
      <c r="S299" s="180">
        <v>4.2919999999999998</v>
      </c>
    </row>
    <row r="300" spans="2:19">
      <c r="B300" s="198">
        <v>44068</v>
      </c>
      <c r="C300" s="178">
        <v>68090.320000000007</v>
      </c>
      <c r="D300">
        <f t="shared" si="9"/>
        <v>5.6666516509089604E-3</v>
      </c>
      <c r="E300" s="179">
        <v>34.22</v>
      </c>
      <c r="F300">
        <f t="shared" si="10"/>
        <v>-7.5406032482597807E-3</v>
      </c>
      <c r="H300" s="179"/>
      <c r="R300" s="199">
        <v>42066</v>
      </c>
      <c r="S300" s="180">
        <v>4.2919999999999998</v>
      </c>
    </row>
    <row r="301" spans="2:19">
      <c r="B301" s="198">
        <v>44069</v>
      </c>
      <c r="C301" s="178">
        <v>67735.100000000006</v>
      </c>
      <c r="D301">
        <f t="shared" si="9"/>
        <v>-5.2168942663215478E-3</v>
      </c>
      <c r="E301" s="179">
        <v>34.159999999999997</v>
      </c>
      <c r="F301">
        <f t="shared" si="10"/>
        <v>-1.753360607831711E-3</v>
      </c>
      <c r="H301" s="179"/>
      <c r="R301" s="199">
        <v>42067</v>
      </c>
      <c r="S301" s="180">
        <v>4.2919999999999998</v>
      </c>
    </row>
    <row r="302" spans="2:19">
      <c r="B302" s="198">
        <v>44070</v>
      </c>
      <c r="C302" s="178">
        <v>67929.240000000005</v>
      </c>
      <c r="D302">
        <f t="shared" si="9"/>
        <v>2.8661654002135606E-3</v>
      </c>
      <c r="E302" s="179">
        <v>32.93</v>
      </c>
      <c r="F302">
        <f t="shared" si="10"/>
        <v>-3.6007025761124023E-2</v>
      </c>
      <c r="H302" s="179"/>
      <c r="R302" s="199">
        <v>42068</v>
      </c>
      <c r="S302" s="180">
        <v>4.2919999999999998</v>
      </c>
    </row>
    <row r="303" spans="2:19">
      <c r="B303" s="198">
        <v>44071</v>
      </c>
      <c r="C303" s="178">
        <v>67396.2</v>
      </c>
      <c r="D303">
        <f t="shared" si="9"/>
        <v>-7.8469890138621601E-3</v>
      </c>
      <c r="E303" s="179">
        <v>32.46</v>
      </c>
      <c r="F303">
        <f t="shared" si="10"/>
        <v>-1.4272699665958011E-2</v>
      </c>
      <c r="H303" s="179"/>
      <c r="R303" s="199">
        <v>42069</v>
      </c>
      <c r="S303" s="180">
        <v>4.2919999999999998</v>
      </c>
    </row>
    <row r="304" spans="2:19">
      <c r="B304" s="198">
        <v>44074</v>
      </c>
      <c r="C304" s="178">
        <v>67348.08</v>
      </c>
      <c r="D304">
        <f t="shared" si="9"/>
        <v>-7.1398684198809015E-4</v>
      </c>
      <c r="E304" s="179">
        <v>32.049999999999997</v>
      </c>
      <c r="F304">
        <f t="shared" si="10"/>
        <v>-1.2630930375847282E-2</v>
      </c>
      <c r="H304" s="179"/>
      <c r="R304" s="199">
        <v>42072</v>
      </c>
      <c r="S304" s="180">
        <v>4.2919999999999998</v>
      </c>
    </row>
    <row r="305" spans="2:19">
      <c r="B305" s="198">
        <v>44075</v>
      </c>
      <c r="C305" s="178">
        <v>66273.69</v>
      </c>
      <c r="D305">
        <f t="shared" si="9"/>
        <v>-1.5952793309029767E-2</v>
      </c>
      <c r="E305" s="179">
        <v>31.74</v>
      </c>
      <c r="F305">
        <f t="shared" si="10"/>
        <v>-9.6723868954757819E-3</v>
      </c>
      <c r="H305" s="179"/>
      <c r="R305" s="199">
        <v>42073</v>
      </c>
      <c r="S305" s="180">
        <v>4.2919999999999998</v>
      </c>
    </row>
    <row r="306" spans="2:19">
      <c r="B306" s="198">
        <v>44076</v>
      </c>
      <c r="C306" s="178">
        <v>67460.89</v>
      </c>
      <c r="D306">
        <f t="shared" si="9"/>
        <v>1.7913594369047381E-2</v>
      </c>
      <c r="E306" s="179">
        <v>32.51</v>
      </c>
      <c r="F306">
        <f t="shared" si="10"/>
        <v>2.4259609325771869E-2</v>
      </c>
      <c r="H306" s="179"/>
      <c r="R306" s="199">
        <v>42074</v>
      </c>
      <c r="S306" s="180">
        <v>4.2919999999999998</v>
      </c>
    </row>
    <row r="307" spans="2:19">
      <c r="B307" s="198">
        <v>44077</v>
      </c>
      <c r="C307" s="178">
        <v>68079.27</v>
      </c>
      <c r="D307">
        <f t="shared" si="9"/>
        <v>9.1664963210535966E-3</v>
      </c>
      <c r="E307" s="179">
        <v>33</v>
      </c>
      <c r="F307">
        <f t="shared" si="10"/>
        <v>1.5072285450630662E-2</v>
      </c>
      <c r="H307" s="179"/>
      <c r="R307" s="199">
        <v>42075</v>
      </c>
      <c r="S307" s="180">
        <v>4.2919999999999998</v>
      </c>
    </row>
    <row r="308" spans="2:19">
      <c r="B308" s="198">
        <v>44078</v>
      </c>
      <c r="C308" s="178">
        <v>66003.55</v>
      </c>
      <c r="D308">
        <f t="shared" si="9"/>
        <v>-3.0489751138635945E-2</v>
      </c>
      <c r="E308" s="179">
        <v>32.51</v>
      </c>
      <c r="F308">
        <f t="shared" si="10"/>
        <v>-1.4848484848484889E-2</v>
      </c>
      <c r="H308" s="179"/>
      <c r="R308" s="199">
        <v>42076</v>
      </c>
      <c r="S308" s="180">
        <v>4.2919999999999998</v>
      </c>
    </row>
    <row r="309" spans="2:19">
      <c r="B309" s="198">
        <v>44081</v>
      </c>
      <c r="C309" s="178">
        <v>66258.679999999993</v>
      </c>
      <c r="D309">
        <f t="shared" si="9"/>
        <v>3.8653981490388567E-3</v>
      </c>
      <c r="E309" s="179">
        <v>31.79</v>
      </c>
      <c r="F309">
        <f t="shared" si="10"/>
        <v>-2.214703168255916E-2</v>
      </c>
      <c r="H309" s="179"/>
      <c r="R309" s="199">
        <v>42079</v>
      </c>
      <c r="S309" s="180">
        <v>4.2919999999999998</v>
      </c>
    </row>
    <row r="310" spans="2:19">
      <c r="B310" s="198">
        <v>44082</v>
      </c>
      <c r="C310" s="178">
        <v>66922.13</v>
      </c>
      <c r="D310">
        <f t="shared" si="9"/>
        <v>1.0013027727084456E-2</v>
      </c>
      <c r="E310" s="179">
        <v>31.81</v>
      </c>
      <c r="F310">
        <f t="shared" si="10"/>
        <v>6.2912865681030716E-4</v>
      </c>
      <c r="H310" s="179"/>
      <c r="R310" s="199">
        <v>42080</v>
      </c>
      <c r="S310" s="180">
        <v>4.2919999999999998</v>
      </c>
    </row>
    <row r="311" spans="2:19">
      <c r="B311" s="198">
        <v>44083</v>
      </c>
      <c r="C311" s="178">
        <v>65512.160000000003</v>
      </c>
      <c r="D311">
        <f t="shared" si="9"/>
        <v>-2.1068815353008086E-2</v>
      </c>
      <c r="E311" s="179">
        <v>31.66</v>
      </c>
      <c r="F311">
        <f t="shared" si="10"/>
        <v>-4.7154982709839421E-3</v>
      </c>
      <c r="H311" s="179"/>
      <c r="R311" s="199">
        <v>42081</v>
      </c>
      <c r="S311" s="180">
        <v>4.2919999999999998</v>
      </c>
    </row>
    <row r="312" spans="2:19">
      <c r="B312" s="198">
        <v>44084</v>
      </c>
      <c r="C312" s="178">
        <v>65876.86</v>
      </c>
      <c r="D312">
        <f t="shared" si="9"/>
        <v>5.5669054416767061E-3</v>
      </c>
      <c r="E312" s="179">
        <v>32</v>
      </c>
      <c r="F312">
        <f t="shared" si="10"/>
        <v>1.073910296904601E-2</v>
      </c>
      <c r="H312" s="179"/>
      <c r="R312" s="199">
        <v>42082</v>
      </c>
      <c r="S312" s="180">
        <v>4.2919999999999998</v>
      </c>
    </row>
    <row r="313" spans="2:19">
      <c r="B313" s="198">
        <v>44085</v>
      </c>
      <c r="C313" s="178">
        <v>65326.63</v>
      </c>
      <c r="D313">
        <f t="shared" si="9"/>
        <v>-8.3524017386378269E-3</v>
      </c>
      <c r="E313" s="179">
        <v>32.53</v>
      </c>
      <c r="F313">
        <f t="shared" si="10"/>
        <v>1.6562500000000036E-2</v>
      </c>
      <c r="H313" s="179"/>
      <c r="R313" s="199">
        <v>42083</v>
      </c>
      <c r="S313" s="180">
        <v>4.2919999999999998</v>
      </c>
    </row>
    <row r="314" spans="2:19">
      <c r="B314" s="198">
        <v>44088</v>
      </c>
      <c r="C314" s="178">
        <v>65759.289999999994</v>
      </c>
      <c r="D314">
        <f t="shared" si="9"/>
        <v>6.6230264748081691E-3</v>
      </c>
      <c r="E314" s="179">
        <v>32.590000000000003</v>
      </c>
      <c r="F314">
        <f t="shared" si="10"/>
        <v>1.8444512757456177E-3</v>
      </c>
      <c r="H314" s="179"/>
      <c r="R314" s="199">
        <v>42086</v>
      </c>
      <c r="S314" s="180">
        <v>4.2919999999999998</v>
      </c>
    </row>
    <row r="315" spans="2:19">
      <c r="B315" s="198">
        <v>44089</v>
      </c>
      <c r="C315" s="178">
        <v>65769.41</v>
      </c>
      <c r="D315">
        <f t="shared" si="9"/>
        <v>1.5389460561410218E-4</v>
      </c>
      <c r="E315" s="179">
        <v>32.44</v>
      </c>
      <c r="F315">
        <f t="shared" si="10"/>
        <v>-4.6026388462719892E-3</v>
      </c>
      <c r="H315" s="179"/>
      <c r="R315" s="199">
        <v>42087</v>
      </c>
      <c r="S315" s="180">
        <v>4.2919999999999998</v>
      </c>
    </row>
    <row r="316" spans="2:19">
      <c r="B316" s="198">
        <v>44090</v>
      </c>
      <c r="C316" s="178">
        <v>66501.929999999993</v>
      </c>
      <c r="D316">
        <f t="shared" si="9"/>
        <v>1.113770064228925E-2</v>
      </c>
      <c r="E316" s="179">
        <v>32.61</v>
      </c>
      <c r="F316">
        <f t="shared" si="10"/>
        <v>5.2404438964241962E-3</v>
      </c>
      <c r="H316" s="179"/>
      <c r="R316" s="199">
        <v>42088</v>
      </c>
      <c r="S316" s="180">
        <v>4.2919999999999998</v>
      </c>
    </row>
    <row r="317" spans="2:19">
      <c r="B317" s="198">
        <v>44091</v>
      </c>
      <c r="C317" s="178">
        <v>65666.929999999993</v>
      </c>
      <c r="D317">
        <f t="shared" si="9"/>
        <v>-1.2556026569454426E-2</v>
      </c>
      <c r="E317" s="179">
        <v>32.57</v>
      </c>
      <c r="F317">
        <f t="shared" si="10"/>
        <v>-1.2266176019625208E-3</v>
      </c>
      <c r="H317" s="179"/>
      <c r="R317" s="199">
        <v>42089</v>
      </c>
      <c r="S317" s="180">
        <v>4.2919999999999998</v>
      </c>
    </row>
    <row r="318" spans="2:19">
      <c r="B318" s="198">
        <v>44092</v>
      </c>
      <c r="C318" s="178">
        <v>65544.570000000007</v>
      </c>
      <c r="D318">
        <f t="shared" si="9"/>
        <v>-1.8633427815185621E-3</v>
      </c>
      <c r="E318" s="179">
        <v>32.409999999999997</v>
      </c>
      <c r="F318">
        <f t="shared" si="10"/>
        <v>-4.912496162112534E-3</v>
      </c>
      <c r="H318" s="179"/>
      <c r="R318" s="199">
        <v>42090</v>
      </c>
      <c r="S318" s="180">
        <v>4.2919999999999998</v>
      </c>
    </row>
    <row r="319" spans="2:19">
      <c r="B319" s="198">
        <v>44095</v>
      </c>
      <c r="C319" s="178">
        <v>65068.69</v>
      </c>
      <c r="D319">
        <f t="shared" si="9"/>
        <v>-7.2604031119588575E-3</v>
      </c>
      <c r="E319" s="179">
        <v>33.270000000000003</v>
      </c>
      <c r="F319">
        <f t="shared" si="10"/>
        <v>2.6535020055538538E-2</v>
      </c>
      <c r="H319" s="179"/>
      <c r="R319" s="199">
        <v>42093</v>
      </c>
      <c r="S319" s="180">
        <v>4.2919999999999998</v>
      </c>
    </row>
    <row r="320" spans="2:19">
      <c r="B320" s="198">
        <v>44096</v>
      </c>
      <c r="C320" s="178">
        <v>64637.77</v>
      </c>
      <c r="D320">
        <f t="shared" si="9"/>
        <v>-6.6225399650738925E-3</v>
      </c>
      <c r="E320" s="179">
        <v>33.28</v>
      </c>
      <c r="F320">
        <f t="shared" si="10"/>
        <v>3.0057108506165164E-4</v>
      </c>
      <c r="H320" s="179"/>
      <c r="R320" s="199">
        <v>42094</v>
      </c>
      <c r="S320" s="180">
        <v>4.2919999999999998</v>
      </c>
    </row>
    <row r="321" spans="2:19">
      <c r="B321" s="198">
        <v>44097</v>
      </c>
      <c r="C321" s="178">
        <v>66129.48</v>
      </c>
      <c r="D321">
        <f t="shared" si="9"/>
        <v>2.307799294437296E-2</v>
      </c>
      <c r="E321" s="179">
        <v>33.909999999999997</v>
      </c>
      <c r="F321">
        <f t="shared" si="10"/>
        <v>1.8930288461538325E-2</v>
      </c>
      <c r="H321" s="179"/>
      <c r="R321" s="199">
        <v>42095</v>
      </c>
      <c r="S321" s="180">
        <v>4.2919999999999998</v>
      </c>
    </row>
    <row r="322" spans="2:19">
      <c r="B322" s="198">
        <v>44098</v>
      </c>
      <c r="C322" s="178">
        <v>65536.95</v>
      </c>
      <c r="D322">
        <f t="shared" si="9"/>
        <v>-8.9601490893319591E-3</v>
      </c>
      <c r="E322" s="179">
        <v>33.74</v>
      </c>
      <c r="F322">
        <f t="shared" si="10"/>
        <v>-5.0132704217044077E-3</v>
      </c>
      <c r="H322" s="179"/>
      <c r="R322" s="199">
        <v>42096</v>
      </c>
      <c r="S322" s="180">
        <v>4.2919999999999998</v>
      </c>
    </row>
    <row r="323" spans="2:19">
      <c r="B323" s="198">
        <v>44099</v>
      </c>
      <c r="C323" s="178">
        <v>66450.87</v>
      </c>
      <c r="D323">
        <f t="shared" si="9"/>
        <v>1.3945110353777546E-2</v>
      </c>
      <c r="E323" s="179">
        <v>33.43</v>
      </c>
      <c r="F323">
        <f t="shared" si="10"/>
        <v>-9.1879075281565692E-3</v>
      </c>
      <c r="H323" s="179"/>
      <c r="R323" s="199">
        <v>42101</v>
      </c>
      <c r="S323" s="180">
        <v>4.2919999999999998</v>
      </c>
    </row>
    <row r="324" spans="2:19">
      <c r="B324" s="198">
        <v>44102</v>
      </c>
      <c r="C324" s="178">
        <v>66390.649999999994</v>
      </c>
      <c r="D324">
        <f t="shared" si="9"/>
        <v>-9.062334323087784E-4</v>
      </c>
      <c r="E324" s="179">
        <v>33.590000000000003</v>
      </c>
      <c r="F324">
        <f t="shared" si="10"/>
        <v>4.7861202512713419E-3</v>
      </c>
      <c r="H324" s="179"/>
      <c r="R324" s="199">
        <v>42102</v>
      </c>
      <c r="S324" s="180">
        <v>4.2919999999999998</v>
      </c>
    </row>
    <row r="325" spans="2:19">
      <c r="B325" s="198">
        <v>44103</v>
      </c>
      <c r="C325" s="178">
        <v>66470.45</v>
      </c>
      <c r="D325">
        <f t="shared" si="9"/>
        <v>1.2019764831343593E-3</v>
      </c>
      <c r="E325" s="179">
        <v>33.81</v>
      </c>
      <c r="F325">
        <f t="shared" si="10"/>
        <v>6.5495683239058522E-3</v>
      </c>
      <c r="H325" s="179"/>
      <c r="R325" s="199">
        <v>42103</v>
      </c>
      <c r="S325" s="180">
        <v>4.2919999999999998</v>
      </c>
    </row>
    <row r="326" spans="2:19">
      <c r="B326" s="198">
        <v>44104</v>
      </c>
      <c r="C326" s="178">
        <v>65039.96</v>
      </c>
      <c r="D326">
        <f t="shared" si="9"/>
        <v>-2.1520690773117912E-2</v>
      </c>
      <c r="E326" s="179">
        <v>33.159999999999997</v>
      </c>
      <c r="F326">
        <f t="shared" si="10"/>
        <v>-1.9225081336882721E-2</v>
      </c>
      <c r="H326" s="179"/>
      <c r="R326" s="199">
        <v>42104</v>
      </c>
      <c r="S326" s="180">
        <v>4.2919999999999998</v>
      </c>
    </row>
    <row r="327" spans="2:19">
      <c r="B327" s="198">
        <v>44105</v>
      </c>
      <c r="C327" s="178">
        <v>65689.84</v>
      </c>
      <c r="D327">
        <f t="shared" si="9"/>
        <v>9.9920110651974259E-3</v>
      </c>
      <c r="E327" s="179">
        <v>33.47</v>
      </c>
      <c r="F327">
        <f t="shared" si="10"/>
        <v>9.3486127864899071E-3</v>
      </c>
      <c r="H327" s="179"/>
      <c r="R327" s="199">
        <v>42107</v>
      </c>
      <c r="S327" s="180">
        <v>4.2919999999999998</v>
      </c>
    </row>
    <row r="328" spans="2:19">
      <c r="B328" s="198">
        <v>44106</v>
      </c>
      <c r="C328" s="178">
        <v>64757.41</v>
      </c>
      <c r="D328">
        <f t="shared" ref="D328:D391" si="11">(C328/C327)-1</f>
        <v>-1.4194432502803944E-2</v>
      </c>
      <c r="E328" s="179">
        <v>33.119999999999997</v>
      </c>
      <c r="F328">
        <f t="shared" ref="F328:F391" si="12">(E328/E327)-1</f>
        <v>-1.0457125784284482E-2</v>
      </c>
      <c r="H328" s="179"/>
      <c r="R328" s="199">
        <v>42108</v>
      </c>
      <c r="S328" s="180">
        <v>4.2919999999999998</v>
      </c>
    </row>
    <row r="329" spans="2:19">
      <c r="B329" s="198">
        <v>44109</v>
      </c>
      <c r="C329" s="178">
        <v>66402.7</v>
      </c>
      <c r="D329">
        <f t="shared" si="11"/>
        <v>2.5406976591558994E-2</v>
      </c>
      <c r="E329" s="179">
        <v>33.67</v>
      </c>
      <c r="F329">
        <f t="shared" si="12"/>
        <v>1.6606280193236955E-2</v>
      </c>
      <c r="H329" s="179"/>
      <c r="R329" s="199">
        <v>42109</v>
      </c>
      <c r="S329" s="180">
        <v>4.2919999999999998</v>
      </c>
    </row>
    <row r="330" spans="2:19">
      <c r="B330" s="198">
        <v>44110</v>
      </c>
      <c r="C330" s="178">
        <v>66719</v>
      </c>
      <c r="D330">
        <f t="shared" si="11"/>
        <v>4.7633605260026801E-3</v>
      </c>
      <c r="E330" s="179">
        <v>33.74</v>
      </c>
      <c r="F330">
        <f t="shared" si="12"/>
        <v>2.0790020790020236E-3</v>
      </c>
      <c r="H330" s="179"/>
      <c r="R330" s="199">
        <v>42110</v>
      </c>
      <c r="S330" s="180">
        <v>4.2919999999999998</v>
      </c>
    </row>
    <row r="331" spans="2:19">
      <c r="B331" s="198">
        <v>44111</v>
      </c>
      <c r="C331" s="178">
        <v>67534.600000000006</v>
      </c>
      <c r="D331">
        <f t="shared" si="11"/>
        <v>1.2224403842983289E-2</v>
      </c>
      <c r="E331" s="179">
        <v>34.020000000000003</v>
      </c>
      <c r="F331">
        <f t="shared" si="12"/>
        <v>8.2987551867219622E-3</v>
      </c>
      <c r="H331" s="179"/>
      <c r="R331" s="199">
        <v>42111</v>
      </c>
      <c r="S331" s="180">
        <v>4.2919999999999998</v>
      </c>
    </row>
    <row r="332" spans="2:19">
      <c r="B332" s="198">
        <v>44112</v>
      </c>
      <c r="C332" s="178">
        <v>68252.460000000006</v>
      </c>
      <c r="D332">
        <f t="shared" si="11"/>
        <v>1.0629514352642921E-2</v>
      </c>
      <c r="E332" s="179">
        <v>34.81</v>
      </c>
      <c r="F332">
        <f t="shared" si="12"/>
        <v>2.3221634332745378E-2</v>
      </c>
      <c r="H332" s="179"/>
      <c r="R332" s="199">
        <v>42114</v>
      </c>
      <c r="S332" s="180">
        <v>4.2919999999999998</v>
      </c>
    </row>
    <row r="333" spans="2:19">
      <c r="B333" s="198">
        <v>44113</v>
      </c>
      <c r="C333" s="178">
        <v>68332.67</v>
      </c>
      <c r="D333">
        <f t="shared" si="11"/>
        <v>1.1751957365344623E-3</v>
      </c>
      <c r="E333" s="179">
        <v>34.520000000000003</v>
      </c>
      <c r="F333">
        <f t="shared" si="12"/>
        <v>-8.330939385234104E-3</v>
      </c>
      <c r="H333" s="179"/>
      <c r="R333" s="199">
        <v>42115</v>
      </c>
      <c r="S333" s="180">
        <v>4.2919999999999998</v>
      </c>
    </row>
    <row r="334" spans="2:19">
      <c r="B334" s="198">
        <v>44116</v>
      </c>
      <c r="C334" s="178">
        <v>68663.820000000007</v>
      </c>
      <c r="D334">
        <f t="shared" si="11"/>
        <v>4.846144604037983E-3</v>
      </c>
      <c r="E334" s="179">
        <v>34.380000000000003</v>
      </c>
      <c r="F334">
        <f t="shared" si="12"/>
        <v>-4.0556199304750962E-3</v>
      </c>
      <c r="H334" s="179"/>
      <c r="R334" s="199">
        <v>42116</v>
      </c>
      <c r="S334" s="180">
        <v>4.2919999999999998</v>
      </c>
    </row>
    <row r="335" spans="2:19">
      <c r="B335" s="198">
        <v>44117</v>
      </c>
      <c r="C335" s="178">
        <v>69282.399999999994</v>
      </c>
      <c r="D335">
        <f t="shared" si="11"/>
        <v>9.0088200743854152E-3</v>
      </c>
      <c r="E335" s="179">
        <v>34.700000000000003</v>
      </c>
      <c r="F335">
        <f t="shared" si="12"/>
        <v>9.307737056428067E-3</v>
      </c>
      <c r="H335" s="179"/>
      <c r="R335" s="199">
        <v>42117</v>
      </c>
      <c r="S335" s="180">
        <v>4.2919999999999998</v>
      </c>
    </row>
    <row r="336" spans="2:19">
      <c r="B336" s="198">
        <v>44118</v>
      </c>
      <c r="C336" s="178">
        <v>69145.73</v>
      </c>
      <c r="D336">
        <f t="shared" si="11"/>
        <v>-1.9726510628961247E-3</v>
      </c>
      <c r="E336" s="179">
        <v>35.5</v>
      </c>
      <c r="F336">
        <f t="shared" si="12"/>
        <v>2.3054755043227626E-2</v>
      </c>
      <c r="H336" s="179"/>
      <c r="R336" s="199">
        <v>42118</v>
      </c>
      <c r="S336" s="180">
        <v>4.2919999999999998</v>
      </c>
    </row>
    <row r="337" spans="2:19">
      <c r="B337" s="198">
        <v>44119</v>
      </c>
      <c r="C337" s="178">
        <v>69436.19</v>
      </c>
      <c r="D337">
        <f t="shared" si="11"/>
        <v>4.2006932315272749E-3</v>
      </c>
      <c r="E337" s="179">
        <v>36.299999999999997</v>
      </c>
      <c r="F337">
        <f t="shared" si="12"/>
        <v>2.2535211267605604E-2</v>
      </c>
      <c r="H337" s="179"/>
      <c r="R337" s="199">
        <v>42121</v>
      </c>
      <c r="S337" s="180">
        <v>4.2919999999999998</v>
      </c>
    </row>
    <row r="338" spans="2:19">
      <c r="B338" s="198">
        <v>44120</v>
      </c>
      <c r="C338" s="178">
        <v>69120.460000000006</v>
      </c>
      <c r="D338">
        <f t="shared" si="11"/>
        <v>-4.54705248084597E-3</v>
      </c>
      <c r="E338" s="179">
        <v>36.4</v>
      </c>
      <c r="F338">
        <f t="shared" si="12"/>
        <v>2.7548209366392573E-3</v>
      </c>
      <c r="H338" s="179"/>
      <c r="R338" s="199">
        <v>42122</v>
      </c>
      <c r="S338" s="180">
        <v>4.2919999999999998</v>
      </c>
    </row>
    <row r="339" spans="2:19">
      <c r="B339" s="198">
        <v>44123</v>
      </c>
      <c r="C339" s="178">
        <v>69667.64</v>
      </c>
      <c r="D339">
        <f t="shared" si="11"/>
        <v>7.9163246309412738E-3</v>
      </c>
      <c r="E339" s="179">
        <v>36.75</v>
      </c>
      <c r="F339">
        <f t="shared" si="12"/>
        <v>9.6153846153845812E-3</v>
      </c>
      <c r="H339" s="179"/>
      <c r="R339" s="199">
        <v>42123</v>
      </c>
      <c r="S339" s="180">
        <v>4.2919999999999998</v>
      </c>
    </row>
    <row r="340" spans="2:19">
      <c r="B340" s="198">
        <v>44124</v>
      </c>
      <c r="C340" s="178">
        <v>69247.899999999994</v>
      </c>
      <c r="D340">
        <f t="shared" si="11"/>
        <v>-6.0248919010318369E-3</v>
      </c>
      <c r="E340" s="179">
        <v>36.590000000000003</v>
      </c>
      <c r="F340">
        <f t="shared" si="12"/>
        <v>-4.3537414965985066E-3</v>
      </c>
      <c r="H340" s="179"/>
      <c r="R340" s="199">
        <v>42124</v>
      </c>
      <c r="S340" s="180">
        <v>4.2919999999999998</v>
      </c>
    </row>
    <row r="341" spans="2:19">
      <c r="B341" s="198">
        <v>44125</v>
      </c>
      <c r="C341" s="178">
        <v>69316.039999999994</v>
      </c>
      <c r="D341">
        <f t="shared" si="11"/>
        <v>9.8400095887374306E-4</v>
      </c>
      <c r="E341" s="179">
        <v>36.07</v>
      </c>
      <c r="F341">
        <f t="shared" si="12"/>
        <v>-1.4211533205794047E-2</v>
      </c>
      <c r="H341" s="179"/>
      <c r="R341" s="199">
        <v>42125</v>
      </c>
      <c r="S341" s="180">
        <v>4.2919999999999998</v>
      </c>
    </row>
    <row r="342" spans="2:19">
      <c r="B342" s="198">
        <v>44126</v>
      </c>
      <c r="C342" s="178">
        <v>69106.62</v>
      </c>
      <c r="D342">
        <f t="shared" si="11"/>
        <v>-3.0212343347946202E-3</v>
      </c>
      <c r="E342" s="179">
        <v>36.549999999999997</v>
      </c>
      <c r="F342">
        <f t="shared" si="12"/>
        <v>1.3307457721097871E-2</v>
      </c>
      <c r="H342" s="179"/>
      <c r="R342" s="199">
        <v>42128</v>
      </c>
      <c r="S342" s="180">
        <v>4.2919999999999998</v>
      </c>
    </row>
    <row r="343" spans="2:19">
      <c r="B343" s="198">
        <v>44127</v>
      </c>
      <c r="C343" s="178">
        <v>68998.64</v>
      </c>
      <c r="D343">
        <f t="shared" si="11"/>
        <v>-1.5625131137942949E-3</v>
      </c>
      <c r="E343" s="179">
        <v>36.4</v>
      </c>
      <c r="F343">
        <f t="shared" si="12"/>
        <v>-4.1039671682626677E-3</v>
      </c>
      <c r="H343" s="179"/>
      <c r="R343" s="199">
        <v>42129</v>
      </c>
      <c r="S343" s="180">
        <v>4.2919999999999998</v>
      </c>
    </row>
    <row r="344" spans="2:19">
      <c r="B344" s="198">
        <v>44130</v>
      </c>
      <c r="C344" s="178">
        <v>68820.62</v>
      </c>
      <c r="D344">
        <f t="shared" si="11"/>
        <v>-2.5800508531762523E-3</v>
      </c>
      <c r="E344" s="179">
        <v>36.229999999999997</v>
      </c>
      <c r="F344">
        <f t="shared" si="12"/>
        <v>-4.6703296703297648E-3</v>
      </c>
      <c r="H344" s="179"/>
      <c r="R344" s="199">
        <v>42130</v>
      </c>
      <c r="S344" s="180">
        <v>4.2919999999999998</v>
      </c>
    </row>
    <row r="345" spans="2:19">
      <c r="B345" s="198">
        <v>44131</v>
      </c>
      <c r="C345" s="178">
        <v>67629.13</v>
      </c>
      <c r="D345">
        <f t="shared" si="11"/>
        <v>-1.7312979743570933E-2</v>
      </c>
      <c r="E345" s="179">
        <v>35.840000000000003</v>
      </c>
      <c r="F345">
        <f t="shared" si="12"/>
        <v>-1.0764559757107217E-2</v>
      </c>
      <c r="H345" s="179"/>
      <c r="R345" s="199">
        <v>42131</v>
      </c>
      <c r="S345" s="180">
        <v>4.2919999999999998</v>
      </c>
    </row>
    <row r="346" spans="2:19">
      <c r="B346" s="198">
        <v>44132</v>
      </c>
      <c r="C346" s="178">
        <v>67786.84</v>
      </c>
      <c r="D346">
        <f t="shared" si="11"/>
        <v>2.3319832740713586E-3</v>
      </c>
      <c r="E346" s="179">
        <v>36.1</v>
      </c>
      <c r="F346">
        <f t="shared" si="12"/>
        <v>7.2544642857141906E-3</v>
      </c>
      <c r="H346" s="179"/>
      <c r="R346" s="199">
        <v>42132</v>
      </c>
      <c r="S346" s="180">
        <v>4.2919999999999998</v>
      </c>
    </row>
    <row r="347" spans="2:19">
      <c r="B347" s="198">
        <v>44133</v>
      </c>
      <c r="C347" s="178">
        <v>66771.44</v>
      </c>
      <c r="D347">
        <f t="shared" si="11"/>
        <v>-1.4979308668172098E-2</v>
      </c>
      <c r="E347" s="179">
        <v>35.79</v>
      </c>
      <c r="F347">
        <f t="shared" si="12"/>
        <v>-8.5872576177286053E-3</v>
      </c>
      <c r="H347" s="179"/>
      <c r="R347" s="199">
        <v>42135</v>
      </c>
      <c r="S347" s="180">
        <v>4.2919999999999998</v>
      </c>
    </row>
    <row r="348" spans="2:19">
      <c r="B348" s="198">
        <v>44134</v>
      </c>
      <c r="C348" s="178">
        <v>66394.87</v>
      </c>
      <c r="D348">
        <f t="shared" si="11"/>
        <v>-5.6396866684319535E-3</v>
      </c>
      <c r="E348" s="179">
        <v>34.82</v>
      </c>
      <c r="F348">
        <f t="shared" si="12"/>
        <v>-2.710254260966749E-2</v>
      </c>
      <c r="H348" s="179"/>
      <c r="R348" s="199">
        <v>42136</v>
      </c>
      <c r="S348" s="180">
        <v>4.2919999999999998</v>
      </c>
    </row>
    <row r="349" spans="2:19">
      <c r="B349" s="198">
        <v>44137</v>
      </c>
      <c r="C349" s="178">
        <v>66548.55</v>
      </c>
      <c r="D349">
        <f t="shared" si="11"/>
        <v>2.3146366579225308E-3</v>
      </c>
      <c r="E349" s="179">
        <v>34.92</v>
      </c>
      <c r="F349">
        <f t="shared" si="12"/>
        <v>2.8719126938541173E-3</v>
      </c>
      <c r="H349" s="179"/>
      <c r="R349" s="199">
        <v>42137</v>
      </c>
      <c r="S349" s="180">
        <v>4.2919999999999998</v>
      </c>
    </row>
    <row r="350" spans="2:19">
      <c r="B350" s="198">
        <v>44138</v>
      </c>
      <c r="C350" s="178">
        <v>67798.289999999994</v>
      </c>
      <c r="D350">
        <f t="shared" si="11"/>
        <v>1.8779372352966117E-2</v>
      </c>
      <c r="E350" s="179">
        <v>35.46</v>
      </c>
      <c r="F350">
        <f t="shared" si="12"/>
        <v>1.5463917525773141E-2</v>
      </c>
      <c r="H350" s="179"/>
      <c r="R350" s="199">
        <v>42138</v>
      </c>
      <c r="S350" s="180">
        <v>4.2919999999999998</v>
      </c>
    </row>
    <row r="351" spans="2:19">
      <c r="B351" s="198">
        <v>44139</v>
      </c>
      <c r="C351" s="178">
        <v>67824.259999999995</v>
      </c>
      <c r="D351">
        <f t="shared" si="11"/>
        <v>3.8304800902788649E-4</v>
      </c>
      <c r="E351" s="179">
        <v>35.729999999999997</v>
      </c>
      <c r="F351">
        <f t="shared" si="12"/>
        <v>7.6142131979695105E-3</v>
      </c>
      <c r="H351" s="179"/>
      <c r="R351" s="199">
        <v>42139</v>
      </c>
      <c r="S351" s="180">
        <v>4.2919999999999998</v>
      </c>
    </row>
    <row r="352" spans="2:19">
      <c r="B352" s="198">
        <v>44140</v>
      </c>
      <c r="C352" s="178">
        <v>68679.47</v>
      </c>
      <c r="D352">
        <f t="shared" si="11"/>
        <v>1.260920502486873E-2</v>
      </c>
      <c r="E352" s="179">
        <v>36.159999999999997</v>
      </c>
      <c r="F352">
        <f t="shared" si="12"/>
        <v>1.2034704729918744E-2</v>
      </c>
      <c r="H352" s="179"/>
      <c r="R352" s="199">
        <v>42142</v>
      </c>
      <c r="S352" s="180">
        <v>4.2919999999999998</v>
      </c>
    </row>
    <row r="353" spans="2:19">
      <c r="B353" s="198">
        <v>44141</v>
      </c>
      <c r="C353" s="178">
        <v>69233.11</v>
      </c>
      <c r="D353">
        <f t="shared" si="11"/>
        <v>8.0612153821222332E-3</v>
      </c>
      <c r="E353" s="179">
        <v>35.9</v>
      </c>
      <c r="F353">
        <f t="shared" si="12"/>
        <v>-7.1902654867256333E-3</v>
      </c>
      <c r="H353" s="179"/>
      <c r="R353" s="199">
        <v>42143</v>
      </c>
      <c r="S353" s="180">
        <v>4.2919999999999998</v>
      </c>
    </row>
    <row r="354" spans="2:19">
      <c r="B354" s="198">
        <v>44144</v>
      </c>
      <c r="C354" s="178">
        <v>70574.97</v>
      </c>
      <c r="D354">
        <f t="shared" si="11"/>
        <v>1.9381766903147968E-2</v>
      </c>
      <c r="E354" s="179">
        <v>36.75</v>
      </c>
      <c r="F354">
        <f t="shared" si="12"/>
        <v>2.3676880222841312E-2</v>
      </c>
      <c r="H354" s="179"/>
      <c r="R354" s="199">
        <v>42144</v>
      </c>
      <c r="S354" s="180">
        <v>4.2919999999999998</v>
      </c>
    </row>
    <row r="355" spans="2:19">
      <c r="B355" s="198">
        <v>44145</v>
      </c>
      <c r="C355" s="178">
        <v>70881.37</v>
      </c>
      <c r="D355">
        <f t="shared" si="11"/>
        <v>4.3414825397729562E-3</v>
      </c>
      <c r="E355" s="179">
        <v>34.6</v>
      </c>
      <c r="F355">
        <f t="shared" si="12"/>
        <v>-5.8503401360544216E-2</v>
      </c>
      <c r="H355" s="179"/>
      <c r="R355" s="199">
        <v>42145</v>
      </c>
      <c r="S355" s="180">
        <v>4.2919999999999998</v>
      </c>
    </row>
    <row r="356" spans="2:19">
      <c r="B356" s="198">
        <v>44146</v>
      </c>
      <c r="C356" s="178">
        <v>72080.55</v>
      </c>
      <c r="D356">
        <f t="shared" si="11"/>
        <v>1.6918126723566518E-2</v>
      </c>
      <c r="E356" s="179">
        <v>34.07</v>
      </c>
      <c r="F356">
        <f t="shared" si="12"/>
        <v>-1.531791907514457E-2</v>
      </c>
      <c r="H356" s="179"/>
      <c r="R356" s="199">
        <v>42146</v>
      </c>
      <c r="S356" s="180">
        <v>4.2919999999999998</v>
      </c>
    </row>
    <row r="357" spans="2:19">
      <c r="B357" s="198">
        <v>44147</v>
      </c>
      <c r="C357" s="178">
        <v>71771.009999999995</v>
      </c>
      <c r="D357">
        <f t="shared" si="11"/>
        <v>-4.2943623487891047E-3</v>
      </c>
      <c r="E357" s="179">
        <v>34.299999999999997</v>
      </c>
      <c r="F357">
        <f t="shared" si="12"/>
        <v>6.7508071617257137E-3</v>
      </c>
      <c r="H357" s="179"/>
      <c r="R357" s="199">
        <v>42149</v>
      </c>
      <c r="S357" s="180">
        <v>4.2919999999999998</v>
      </c>
    </row>
    <row r="358" spans="2:19">
      <c r="B358" s="198">
        <v>44148</v>
      </c>
      <c r="C358" s="178">
        <v>71662.41</v>
      </c>
      <c r="D358">
        <f t="shared" si="11"/>
        <v>-1.5131457673508431E-3</v>
      </c>
      <c r="E358" s="179">
        <v>34.299999999999997</v>
      </c>
      <c r="F358">
        <f t="shared" si="12"/>
        <v>0</v>
      </c>
      <c r="H358" s="179"/>
      <c r="R358" s="199">
        <v>42150</v>
      </c>
      <c r="S358" s="180">
        <v>4.2919999999999998</v>
      </c>
    </row>
    <row r="359" spans="2:19">
      <c r="B359" s="198">
        <v>44151</v>
      </c>
      <c r="C359" s="178">
        <v>72530.09</v>
      </c>
      <c r="D359">
        <f t="shared" si="11"/>
        <v>1.2107881942569287E-2</v>
      </c>
      <c r="E359" s="179">
        <v>34.659999999999997</v>
      </c>
      <c r="F359">
        <f t="shared" si="12"/>
        <v>1.0495626822157433E-2</v>
      </c>
      <c r="H359" s="179"/>
      <c r="R359" s="199">
        <v>42151</v>
      </c>
      <c r="S359" s="180">
        <v>4.2919999999999998</v>
      </c>
    </row>
    <row r="360" spans="2:19">
      <c r="B360" s="198">
        <v>44152</v>
      </c>
      <c r="C360" s="178">
        <v>72647.509999999995</v>
      </c>
      <c r="D360">
        <f t="shared" si="11"/>
        <v>1.6189143016367424E-3</v>
      </c>
      <c r="E360" s="179">
        <v>34.35</v>
      </c>
      <c r="F360">
        <f t="shared" si="12"/>
        <v>-8.9440276976340272E-3</v>
      </c>
      <c r="H360" s="179"/>
      <c r="R360" s="199">
        <v>42152</v>
      </c>
      <c r="S360" s="180">
        <v>4.2919999999999998</v>
      </c>
    </row>
    <row r="361" spans="2:19">
      <c r="B361" s="198">
        <v>44153</v>
      </c>
      <c r="C361" s="178">
        <v>72958.31</v>
      </c>
      <c r="D361">
        <f t="shared" si="11"/>
        <v>4.2781920536574258E-3</v>
      </c>
      <c r="E361" s="179">
        <v>34.590000000000003</v>
      </c>
      <c r="F361">
        <f t="shared" si="12"/>
        <v>6.9868995633188824E-3</v>
      </c>
      <c r="H361" s="179"/>
      <c r="R361" s="199">
        <v>42153</v>
      </c>
      <c r="S361" s="180">
        <v>4.2919999999999998</v>
      </c>
    </row>
    <row r="362" spans="2:19">
      <c r="B362" s="198">
        <v>44154</v>
      </c>
      <c r="C362" s="178">
        <v>73134.61</v>
      </c>
      <c r="D362">
        <f t="shared" si="11"/>
        <v>2.416448516968206E-3</v>
      </c>
      <c r="E362" s="179">
        <v>34.25</v>
      </c>
      <c r="F362">
        <f t="shared" si="12"/>
        <v>-9.8294304712345237E-3</v>
      </c>
      <c r="H362" s="179"/>
      <c r="R362" s="199">
        <v>42156</v>
      </c>
      <c r="S362" s="180">
        <v>4.2919999999999998</v>
      </c>
    </row>
    <row r="363" spans="2:19">
      <c r="B363" s="198">
        <v>44155</v>
      </c>
      <c r="C363" s="178">
        <v>73107.75</v>
      </c>
      <c r="D363">
        <f t="shared" si="11"/>
        <v>-3.6726797339869943E-4</v>
      </c>
      <c r="E363" s="179">
        <v>33.799999999999997</v>
      </c>
      <c r="F363">
        <f t="shared" si="12"/>
        <v>-1.3138686131386912E-2</v>
      </c>
      <c r="H363" s="179"/>
      <c r="R363" s="199">
        <v>42157</v>
      </c>
      <c r="S363" s="180">
        <v>4.2919999999999998</v>
      </c>
    </row>
    <row r="364" spans="2:19">
      <c r="B364" s="198">
        <v>44158</v>
      </c>
      <c r="C364" s="178">
        <v>73461.710000000006</v>
      </c>
      <c r="D364">
        <f t="shared" si="11"/>
        <v>4.8416207584012216E-3</v>
      </c>
      <c r="E364" s="179">
        <v>33.159999999999997</v>
      </c>
      <c r="F364">
        <f t="shared" si="12"/>
        <v>-1.8934911242603603E-2</v>
      </c>
      <c r="H364" s="179"/>
      <c r="R364" s="199">
        <v>42158</v>
      </c>
      <c r="S364" s="180">
        <v>4.2919999999999998</v>
      </c>
    </row>
    <row r="365" spans="2:19">
      <c r="B365" s="198">
        <v>44159</v>
      </c>
      <c r="C365" s="178">
        <v>74366.880000000005</v>
      </c>
      <c r="D365">
        <f t="shared" si="11"/>
        <v>1.2321657091837412E-2</v>
      </c>
      <c r="E365" s="179">
        <v>33.28</v>
      </c>
      <c r="F365">
        <f t="shared" si="12"/>
        <v>3.6188178528349102E-3</v>
      </c>
      <c r="H365" s="179"/>
      <c r="R365" s="199">
        <v>42159</v>
      </c>
      <c r="S365" s="180">
        <v>4.2919999999999998</v>
      </c>
    </row>
    <row r="366" spans="2:19">
      <c r="B366" s="198">
        <v>44160</v>
      </c>
      <c r="C366" s="178">
        <v>74722.78</v>
      </c>
      <c r="D366">
        <f t="shared" si="11"/>
        <v>4.7857325734250722E-3</v>
      </c>
      <c r="E366" s="179">
        <v>32.76</v>
      </c>
      <c r="F366">
        <f t="shared" si="12"/>
        <v>-1.5625000000000111E-2</v>
      </c>
      <c r="H366" s="179"/>
      <c r="R366" s="199">
        <v>42160</v>
      </c>
      <c r="S366" s="180">
        <v>4.2919999999999998</v>
      </c>
    </row>
    <row r="367" spans="2:19">
      <c r="B367" s="198">
        <v>44161</v>
      </c>
      <c r="C367" s="178">
        <v>74296.149999999994</v>
      </c>
      <c r="D367">
        <f t="shared" si="11"/>
        <v>-5.7095038487594563E-3</v>
      </c>
      <c r="E367" s="179">
        <v>33.1</v>
      </c>
      <c r="F367">
        <f t="shared" si="12"/>
        <v>1.0378510378510564E-2</v>
      </c>
      <c r="H367" s="179"/>
      <c r="R367" s="199">
        <v>42164</v>
      </c>
      <c r="S367" s="180">
        <v>4.2919999999999998</v>
      </c>
    </row>
    <row r="368" spans="2:19">
      <c r="B368" s="198">
        <v>44162</v>
      </c>
      <c r="C368" s="178">
        <v>73949.13</v>
      </c>
      <c r="D368">
        <f t="shared" si="11"/>
        <v>-4.6707669239925975E-3</v>
      </c>
      <c r="E368" s="179">
        <v>33.26</v>
      </c>
      <c r="F368">
        <f t="shared" si="12"/>
        <v>4.8338368580058688E-3</v>
      </c>
      <c r="H368" s="179"/>
      <c r="R368" s="199">
        <v>42165</v>
      </c>
      <c r="S368" s="180">
        <v>4.2919999999999998</v>
      </c>
    </row>
    <row r="369" spans="2:19">
      <c r="B369" s="198">
        <v>44165</v>
      </c>
      <c r="C369" s="178">
        <v>73140.94</v>
      </c>
      <c r="D369">
        <f t="shared" si="11"/>
        <v>-1.0928999435152242E-2</v>
      </c>
      <c r="E369" s="179">
        <v>32.94</v>
      </c>
      <c r="F369">
        <f t="shared" si="12"/>
        <v>-9.6211665664461821E-3</v>
      </c>
      <c r="H369" s="179"/>
      <c r="R369" s="199">
        <v>42166</v>
      </c>
      <c r="S369" s="180">
        <v>4.2919999999999998</v>
      </c>
    </row>
    <row r="370" spans="2:19">
      <c r="B370" s="198">
        <v>44166</v>
      </c>
      <c r="C370" s="178">
        <v>73903.77</v>
      </c>
      <c r="D370">
        <f t="shared" si="11"/>
        <v>1.0429589775575732E-2</v>
      </c>
      <c r="E370" s="179">
        <v>33.24</v>
      </c>
      <c r="F370">
        <f t="shared" si="12"/>
        <v>9.1074681238616506E-3</v>
      </c>
      <c r="H370" s="179"/>
      <c r="R370" s="199">
        <v>42167</v>
      </c>
      <c r="S370" s="180">
        <v>4.2919999999999998</v>
      </c>
    </row>
    <row r="371" spans="2:19">
      <c r="B371" s="198">
        <v>44167</v>
      </c>
      <c r="C371" s="178">
        <v>73894.3</v>
      </c>
      <c r="D371">
        <f t="shared" si="11"/>
        <v>-1.2813960640978284E-4</v>
      </c>
      <c r="E371" s="179">
        <v>33.17</v>
      </c>
      <c r="F371">
        <f t="shared" si="12"/>
        <v>-2.1058965102286331E-3</v>
      </c>
      <c r="H371" s="179"/>
      <c r="R371" s="199">
        <v>42170</v>
      </c>
      <c r="S371" s="180">
        <v>4.2919999999999998</v>
      </c>
    </row>
    <row r="372" spans="2:19">
      <c r="B372" s="198">
        <v>44168</v>
      </c>
      <c r="C372" s="178">
        <v>74288.789999999994</v>
      </c>
      <c r="D372">
        <f t="shared" si="11"/>
        <v>5.338571445970608E-3</v>
      </c>
      <c r="E372" s="179">
        <v>32.86</v>
      </c>
      <c r="F372">
        <f t="shared" si="12"/>
        <v>-9.3457943925234765E-3</v>
      </c>
      <c r="H372" s="179"/>
      <c r="R372" s="199">
        <v>42171</v>
      </c>
      <c r="S372" s="180">
        <v>4.2919999999999998</v>
      </c>
    </row>
    <row r="373" spans="2:19">
      <c r="B373" s="198">
        <v>44169</v>
      </c>
      <c r="C373" s="178">
        <v>74484.320000000007</v>
      </c>
      <c r="D373">
        <f t="shared" si="11"/>
        <v>2.6320256394001262E-3</v>
      </c>
      <c r="E373" s="179">
        <v>32.42</v>
      </c>
      <c r="F373">
        <f t="shared" si="12"/>
        <v>-1.3390139987827121E-2</v>
      </c>
      <c r="H373" s="179"/>
      <c r="R373" s="199">
        <v>42172</v>
      </c>
      <c r="S373" s="180">
        <v>4.2919999999999998</v>
      </c>
    </row>
    <row r="374" spans="2:19">
      <c r="B374" s="198">
        <v>44172</v>
      </c>
      <c r="C374" s="178">
        <v>74957.990000000005</v>
      </c>
      <c r="D374">
        <f t="shared" si="11"/>
        <v>6.3593250230384868E-3</v>
      </c>
      <c r="E374" s="179">
        <v>31.71</v>
      </c>
      <c r="F374">
        <f t="shared" si="12"/>
        <v>-2.1900061690314665E-2</v>
      </c>
      <c r="H374" s="179"/>
      <c r="R374" s="199">
        <v>42173</v>
      </c>
      <c r="S374" s="180">
        <v>4.2919999999999998</v>
      </c>
    </row>
    <row r="375" spans="2:19">
      <c r="B375" s="198">
        <v>44173</v>
      </c>
      <c r="C375" s="178">
        <v>75101.91</v>
      </c>
      <c r="D375">
        <f t="shared" si="11"/>
        <v>1.9200087942592425E-3</v>
      </c>
      <c r="E375" s="179">
        <v>32.229999999999997</v>
      </c>
      <c r="F375">
        <f t="shared" si="12"/>
        <v>1.6398612425102321E-2</v>
      </c>
      <c r="H375" s="179"/>
      <c r="R375" s="199">
        <v>42174</v>
      </c>
      <c r="S375" s="180">
        <v>4.2919999999999998</v>
      </c>
    </row>
    <row r="376" spans="2:19">
      <c r="B376" s="198">
        <v>44174</v>
      </c>
      <c r="C376" s="178">
        <v>75570.81</v>
      </c>
      <c r="D376">
        <f t="shared" si="11"/>
        <v>6.2435163100378333E-3</v>
      </c>
      <c r="E376" s="179">
        <v>32.880000000000003</v>
      </c>
      <c r="F376">
        <f t="shared" si="12"/>
        <v>2.0167545764815609E-2</v>
      </c>
      <c r="H376" s="179"/>
      <c r="R376" s="199">
        <v>42177</v>
      </c>
      <c r="S376" s="180">
        <v>4.2919999999999998</v>
      </c>
    </row>
    <row r="377" spans="2:19">
      <c r="B377" s="198">
        <v>44175</v>
      </c>
      <c r="C377" s="178">
        <v>75047.45</v>
      </c>
      <c r="D377">
        <f t="shared" si="11"/>
        <v>-6.9254253064112703E-3</v>
      </c>
      <c r="E377" s="179">
        <v>32.950000000000003</v>
      </c>
      <c r="F377">
        <f t="shared" si="12"/>
        <v>2.1289537712896323E-3</v>
      </c>
      <c r="H377" s="179"/>
      <c r="R377" s="199">
        <v>42178</v>
      </c>
      <c r="S377" s="180">
        <v>4.2919999999999998</v>
      </c>
    </row>
    <row r="378" spans="2:19">
      <c r="B378" s="198">
        <v>44176</v>
      </c>
      <c r="C378" s="178">
        <v>74713.919999999998</v>
      </c>
      <c r="D378">
        <f t="shared" si="11"/>
        <v>-4.4442549347113447E-3</v>
      </c>
      <c r="E378" s="179">
        <v>32.72</v>
      </c>
      <c r="F378">
        <f t="shared" si="12"/>
        <v>-6.980273141123039E-3</v>
      </c>
      <c r="H378" s="179"/>
      <c r="R378" s="199">
        <v>42179</v>
      </c>
      <c r="S378" s="180">
        <v>4.2919999999999998</v>
      </c>
    </row>
    <row r="379" spans="2:19">
      <c r="B379" s="198">
        <v>44179</v>
      </c>
      <c r="C379" s="178">
        <v>74864.83</v>
      </c>
      <c r="D379">
        <f t="shared" si="11"/>
        <v>2.0198378026476949E-3</v>
      </c>
      <c r="E379" s="179">
        <v>32.54</v>
      </c>
      <c r="F379">
        <f t="shared" si="12"/>
        <v>-5.5012224938875143E-3</v>
      </c>
      <c r="H379" s="179"/>
      <c r="R379" s="199">
        <v>42180</v>
      </c>
      <c r="S379" s="180">
        <v>4.2919999999999998</v>
      </c>
    </row>
    <row r="380" spans="2:19">
      <c r="B380" s="198">
        <v>44180</v>
      </c>
      <c r="C380" s="178">
        <v>74500.41</v>
      </c>
      <c r="D380">
        <f t="shared" si="11"/>
        <v>-4.8677062380292346E-3</v>
      </c>
      <c r="E380" s="179">
        <v>32.97</v>
      </c>
      <c r="F380">
        <f t="shared" si="12"/>
        <v>1.3214505224339312E-2</v>
      </c>
      <c r="H380" s="179"/>
      <c r="R380" s="199">
        <v>42181</v>
      </c>
      <c r="S380" s="180">
        <v>4.2919999999999998</v>
      </c>
    </row>
    <row r="381" spans="2:19">
      <c r="B381" s="198">
        <v>44181</v>
      </c>
      <c r="C381" s="178">
        <v>75043.12</v>
      </c>
      <c r="D381">
        <f t="shared" si="11"/>
        <v>7.2846578965135578E-3</v>
      </c>
      <c r="E381" s="179">
        <v>32.9</v>
      </c>
      <c r="F381">
        <f t="shared" si="12"/>
        <v>-2.1231422505307851E-3</v>
      </c>
      <c r="H381" s="179"/>
      <c r="R381" s="199">
        <v>42184</v>
      </c>
      <c r="S381" s="180">
        <v>4.2919999999999998</v>
      </c>
    </row>
    <row r="382" spans="2:19">
      <c r="B382" s="198">
        <v>44182</v>
      </c>
      <c r="C382" s="178">
        <v>75947.399999999994</v>
      </c>
      <c r="D382">
        <f t="shared" si="11"/>
        <v>1.2050138640291141E-2</v>
      </c>
      <c r="E382" s="179">
        <v>33.39</v>
      </c>
      <c r="F382">
        <f t="shared" si="12"/>
        <v>1.4893617021276562E-2</v>
      </c>
      <c r="H382" s="179"/>
      <c r="R382" s="199">
        <v>42185</v>
      </c>
      <c r="S382" s="180">
        <v>4.2919999999999998</v>
      </c>
    </row>
    <row r="383" spans="2:19">
      <c r="B383" s="198">
        <v>44183</v>
      </c>
      <c r="C383" s="178">
        <v>75123.11</v>
      </c>
      <c r="D383">
        <f t="shared" si="11"/>
        <v>-1.0853432770575377E-2</v>
      </c>
      <c r="E383" s="179">
        <v>33.4</v>
      </c>
      <c r="F383">
        <f t="shared" si="12"/>
        <v>2.9949086552849558E-4</v>
      </c>
      <c r="H383" s="179"/>
      <c r="R383" s="199">
        <v>42186</v>
      </c>
      <c r="S383" s="180">
        <v>4.2919999999999998</v>
      </c>
    </row>
    <row r="384" spans="2:19">
      <c r="B384" s="198">
        <v>44186</v>
      </c>
      <c r="C384" s="178">
        <v>75079.320000000007</v>
      </c>
      <c r="D384">
        <f t="shared" si="11"/>
        <v>-5.8290983959519149E-4</v>
      </c>
      <c r="E384" s="179">
        <v>33.5</v>
      </c>
      <c r="F384">
        <f t="shared" si="12"/>
        <v>2.9940119760478723E-3</v>
      </c>
      <c r="H384" s="179"/>
      <c r="R384" s="199">
        <v>42187</v>
      </c>
      <c r="S384" s="180">
        <v>4.2919999999999998</v>
      </c>
    </row>
    <row r="385" spans="2:19">
      <c r="B385" s="198">
        <v>44187</v>
      </c>
      <c r="C385" s="178">
        <v>74273.039999999994</v>
      </c>
      <c r="D385">
        <f t="shared" si="11"/>
        <v>-1.0739042388769771E-2</v>
      </c>
      <c r="E385" s="179">
        <v>33.299999999999997</v>
      </c>
      <c r="F385">
        <f t="shared" si="12"/>
        <v>-5.9701492537314049E-3</v>
      </c>
      <c r="H385" s="179"/>
      <c r="R385" s="199">
        <v>42188</v>
      </c>
      <c r="S385" s="180">
        <v>4.2919999999999998</v>
      </c>
    </row>
    <row r="386" spans="2:19">
      <c r="B386" s="198">
        <v>44188</v>
      </c>
      <c r="C386" s="178">
        <v>74784.800000000003</v>
      </c>
      <c r="D386">
        <f t="shared" si="11"/>
        <v>6.8902525061584896E-3</v>
      </c>
      <c r="E386" s="179">
        <v>33.28</v>
      </c>
      <c r="F386">
        <f t="shared" si="12"/>
        <v>-6.0060060060052045E-4</v>
      </c>
      <c r="H386" s="179"/>
      <c r="R386" s="199">
        <v>42191</v>
      </c>
      <c r="S386" s="180">
        <v>4.2919999999999998</v>
      </c>
    </row>
    <row r="387" spans="2:19">
      <c r="B387" s="198">
        <v>44189</v>
      </c>
      <c r="C387" s="178">
        <v>75054.5</v>
      </c>
      <c r="D387">
        <f t="shared" si="11"/>
        <v>3.6063478139942706E-3</v>
      </c>
      <c r="E387" s="179">
        <v>33.32</v>
      </c>
      <c r="F387">
        <f t="shared" si="12"/>
        <v>1.2019230769231282E-3</v>
      </c>
      <c r="H387" s="179"/>
      <c r="R387" s="199">
        <v>42192</v>
      </c>
      <c r="S387" s="180">
        <v>4.2919999999999998</v>
      </c>
    </row>
    <row r="388" spans="2:19">
      <c r="B388" s="198">
        <v>44194</v>
      </c>
      <c r="C388" s="178">
        <v>75538.429999999993</v>
      </c>
      <c r="D388">
        <f t="shared" si="11"/>
        <v>6.4477146606798375E-3</v>
      </c>
      <c r="E388" s="179">
        <v>33.14</v>
      </c>
      <c r="F388">
        <f t="shared" si="12"/>
        <v>-5.4021608643457508E-3</v>
      </c>
      <c r="H388" s="179"/>
      <c r="R388" s="199">
        <v>42193</v>
      </c>
      <c r="S388" s="180">
        <v>4.2919999999999998</v>
      </c>
    </row>
    <row r="389" spans="2:19">
      <c r="B389" s="198">
        <v>44195</v>
      </c>
      <c r="C389" s="178">
        <v>75427.41</v>
      </c>
      <c r="D389">
        <f t="shared" si="11"/>
        <v>-1.469715481245637E-3</v>
      </c>
      <c r="E389" s="179">
        <v>32.85</v>
      </c>
      <c r="F389">
        <f t="shared" si="12"/>
        <v>-8.750754375377201E-3</v>
      </c>
      <c r="H389" s="179"/>
      <c r="R389" s="199">
        <v>42194</v>
      </c>
      <c r="S389" s="180">
        <v>4.2919999999999998</v>
      </c>
    </row>
    <row r="390" spans="2:19">
      <c r="B390" s="198">
        <v>44196</v>
      </c>
      <c r="C390" s="178">
        <v>74424.55</v>
      </c>
      <c r="D390">
        <f t="shared" si="11"/>
        <v>-1.3295697147761021E-2</v>
      </c>
      <c r="E390" s="179">
        <v>32.15</v>
      </c>
      <c r="F390">
        <f t="shared" si="12"/>
        <v>-2.1308980213089912E-2</v>
      </c>
      <c r="H390" s="179"/>
      <c r="R390" s="199">
        <v>42195</v>
      </c>
      <c r="S390" s="180">
        <v>4.2919999999999998</v>
      </c>
    </row>
    <row r="391" spans="2:19">
      <c r="B391" s="198">
        <v>44200</v>
      </c>
      <c r="C391" s="178">
        <v>75544.09</v>
      </c>
      <c r="D391">
        <f t="shared" si="11"/>
        <v>1.5042616985927237E-2</v>
      </c>
      <c r="E391" s="179">
        <v>32.869999999999997</v>
      </c>
      <c r="F391">
        <f t="shared" si="12"/>
        <v>2.2395023328149355E-2</v>
      </c>
      <c r="H391" s="179"/>
      <c r="R391" s="199">
        <v>42198</v>
      </c>
      <c r="S391" s="180">
        <v>4.2919999999999998</v>
      </c>
    </row>
    <row r="392" spans="2:19">
      <c r="B392" s="198">
        <v>44201</v>
      </c>
      <c r="C392" s="178">
        <v>75566.509999999995</v>
      </c>
      <c r="D392">
        <f t="shared" ref="D392:D455" si="13">(C392/C391)-1</f>
        <v>2.967803305327088E-4</v>
      </c>
      <c r="E392" s="179">
        <v>33.06</v>
      </c>
      <c r="F392">
        <f t="shared" ref="F392:F455" si="14">(E392/E391)-1</f>
        <v>5.7803468208093012E-3</v>
      </c>
      <c r="H392" s="179"/>
      <c r="R392" s="199">
        <v>42199</v>
      </c>
      <c r="S392" s="180">
        <v>4.2919999999999998</v>
      </c>
    </row>
    <row r="393" spans="2:19">
      <c r="B393" s="198">
        <v>44202</v>
      </c>
      <c r="C393" s="178">
        <v>74761.070000000007</v>
      </c>
      <c r="D393">
        <f t="shared" si="13"/>
        <v>-1.0658689940821531E-2</v>
      </c>
      <c r="E393" s="179">
        <v>32.979999999999997</v>
      </c>
      <c r="F393">
        <f t="shared" si="14"/>
        <v>-2.4198427102239961E-3</v>
      </c>
      <c r="H393" s="179"/>
      <c r="R393" s="199">
        <v>42200</v>
      </c>
      <c r="S393" s="180">
        <v>4.2919999999999998</v>
      </c>
    </row>
    <row r="394" spans="2:19">
      <c r="B394" s="198">
        <v>44203</v>
      </c>
      <c r="C394" s="178">
        <v>75837.78</v>
      </c>
      <c r="D394">
        <f t="shared" si="13"/>
        <v>1.44020143103889E-2</v>
      </c>
      <c r="E394" s="179">
        <v>33.17</v>
      </c>
      <c r="F394">
        <f t="shared" si="14"/>
        <v>5.7610673135235491E-3</v>
      </c>
      <c r="H394" s="179"/>
      <c r="R394" s="199">
        <v>42201</v>
      </c>
      <c r="S394" s="180">
        <v>4.2919999999999998</v>
      </c>
    </row>
    <row r="395" spans="2:19">
      <c r="B395" s="198">
        <v>44204</v>
      </c>
      <c r="C395" s="178">
        <v>76312.81</v>
      </c>
      <c r="D395">
        <f t="shared" si="13"/>
        <v>6.2637645774967776E-3</v>
      </c>
      <c r="E395" s="179">
        <v>33.92</v>
      </c>
      <c r="F395">
        <f t="shared" si="14"/>
        <v>2.2610792885137121E-2</v>
      </c>
      <c r="H395" s="179"/>
      <c r="R395" s="199">
        <v>42202</v>
      </c>
      <c r="S395" s="180">
        <v>4.2919999999999998</v>
      </c>
    </row>
    <row r="396" spans="2:19">
      <c r="B396" s="198">
        <v>44207</v>
      </c>
      <c r="C396" s="178">
        <v>75609.94</v>
      </c>
      <c r="D396">
        <f t="shared" si="13"/>
        <v>-9.2103802756050568E-3</v>
      </c>
      <c r="E396" s="179">
        <v>33.54</v>
      </c>
      <c r="F396">
        <f t="shared" si="14"/>
        <v>-1.1202830188679291E-2</v>
      </c>
      <c r="H396" s="179"/>
      <c r="R396" s="199">
        <v>42205</v>
      </c>
      <c r="S396" s="180">
        <v>4.2919999999999998</v>
      </c>
    </row>
    <row r="397" spans="2:19">
      <c r="B397" s="198">
        <v>44208</v>
      </c>
      <c r="C397" s="178">
        <v>75387.83</v>
      </c>
      <c r="D397">
        <f t="shared" si="13"/>
        <v>-2.9375767260230168E-3</v>
      </c>
      <c r="E397" s="179">
        <v>33.5</v>
      </c>
      <c r="F397">
        <f t="shared" si="14"/>
        <v>-1.1926058437685683E-3</v>
      </c>
      <c r="H397" s="179"/>
      <c r="R397" s="199">
        <v>42206</v>
      </c>
      <c r="S397" s="180">
        <v>4.2919999999999998</v>
      </c>
    </row>
    <row r="398" spans="2:19">
      <c r="B398" s="198">
        <v>44209</v>
      </c>
      <c r="C398" s="178">
        <v>75548.539999999994</v>
      </c>
      <c r="D398">
        <f t="shared" si="13"/>
        <v>2.1317764419004348E-3</v>
      </c>
      <c r="E398" s="179">
        <v>33.56</v>
      </c>
      <c r="F398">
        <f t="shared" si="14"/>
        <v>1.7910447761195769E-3</v>
      </c>
      <c r="H398" s="179"/>
      <c r="R398" s="199">
        <v>42207</v>
      </c>
      <c r="S398" s="180">
        <v>4.2919999999999998</v>
      </c>
    </row>
    <row r="399" spans="2:19">
      <c r="B399" s="198">
        <v>44210</v>
      </c>
      <c r="C399" s="178">
        <v>75864.06</v>
      </c>
      <c r="D399">
        <f t="shared" si="13"/>
        <v>4.1763877898899349E-3</v>
      </c>
      <c r="E399" s="179">
        <v>33.83</v>
      </c>
      <c r="F399">
        <f t="shared" si="14"/>
        <v>8.0452920143025963E-3</v>
      </c>
      <c r="H399" s="179"/>
      <c r="R399" s="199">
        <v>42208</v>
      </c>
      <c r="S399" s="180">
        <v>4.2919999999999998</v>
      </c>
    </row>
    <row r="400" spans="2:19">
      <c r="B400" s="198">
        <v>44211</v>
      </c>
      <c r="C400" s="178">
        <v>75908.3</v>
      </c>
      <c r="D400">
        <f t="shared" si="13"/>
        <v>5.8314833137074196E-4</v>
      </c>
      <c r="E400" s="179">
        <v>33.729999999999997</v>
      </c>
      <c r="F400">
        <f t="shared" si="14"/>
        <v>-2.9559562518475246E-3</v>
      </c>
      <c r="H400" s="179"/>
      <c r="R400" s="199">
        <v>42209</v>
      </c>
      <c r="S400" s="180">
        <v>4.2919999999999998</v>
      </c>
    </row>
    <row r="401" spans="2:19">
      <c r="B401" s="198">
        <v>44214</v>
      </c>
      <c r="C401" s="178">
        <v>75349.55</v>
      </c>
      <c r="D401">
        <f t="shared" si="13"/>
        <v>-7.3608551370535347E-3</v>
      </c>
      <c r="E401" s="179">
        <v>33.659999999999997</v>
      </c>
      <c r="F401">
        <f t="shared" si="14"/>
        <v>-2.075303883782964E-3</v>
      </c>
      <c r="H401" s="179"/>
      <c r="R401" s="199">
        <v>42212</v>
      </c>
      <c r="S401" s="180">
        <v>4.2919999999999998</v>
      </c>
    </row>
    <row r="402" spans="2:19">
      <c r="B402" s="198">
        <v>44215</v>
      </c>
      <c r="C402" s="178">
        <v>76214.66</v>
      </c>
      <c r="D402">
        <f t="shared" si="13"/>
        <v>1.1481289536566575E-2</v>
      </c>
      <c r="E402" s="179">
        <v>34.26</v>
      </c>
      <c r="F402">
        <f t="shared" si="14"/>
        <v>1.7825311942958999E-2</v>
      </c>
      <c r="H402" s="179"/>
      <c r="R402" s="199">
        <v>42213</v>
      </c>
      <c r="S402" s="180">
        <v>4.2919999999999998</v>
      </c>
    </row>
    <row r="403" spans="2:19">
      <c r="B403" s="198">
        <v>44216</v>
      </c>
      <c r="C403" s="178">
        <v>76606</v>
      </c>
      <c r="D403">
        <f t="shared" si="13"/>
        <v>5.1347076795986712E-3</v>
      </c>
      <c r="E403" s="179">
        <v>34.200000000000003</v>
      </c>
      <c r="F403">
        <f t="shared" si="14"/>
        <v>-1.7513134851137035E-3</v>
      </c>
      <c r="H403" s="179"/>
      <c r="R403" s="199">
        <v>42214</v>
      </c>
      <c r="S403" s="180">
        <v>4.2919999999999998</v>
      </c>
    </row>
    <row r="404" spans="2:19">
      <c r="B404" s="198">
        <v>44217</v>
      </c>
      <c r="C404" s="178">
        <v>77215.12</v>
      </c>
      <c r="D404">
        <f t="shared" si="13"/>
        <v>7.9513354045375184E-3</v>
      </c>
      <c r="E404" s="179">
        <v>34.799999999999997</v>
      </c>
      <c r="F404">
        <f t="shared" si="14"/>
        <v>1.754385964912264E-2</v>
      </c>
      <c r="H404" s="179"/>
      <c r="R404" s="199">
        <v>42215</v>
      </c>
      <c r="S404" s="180">
        <v>4.2919999999999998</v>
      </c>
    </row>
    <row r="405" spans="2:19">
      <c r="B405" s="198">
        <v>44218</v>
      </c>
      <c r="C405" s="178">
        <v>76909.649999999994</v>
      </c>
      <c r="D405">
        <f t="shared" si="13"/>
        <v>-3.956090465183526E-3</v>
      </c>
      <c r="E405" s="179">
        <v>35.1</v>
      </c>
      <c r="F405">
        <f t="shared" si="14"/>
        <v>8.6206896551725976E-3</v>
      </c>
      <c r="H405" s="179"/>
      <c r="R405" s="199">
        <v>42216</v>
      </c>
      <c r="S405" s="180">
        <v>4.2919999999999998</v>
      </c>
    </row>
    <row r="406" spans="2:19">
      <c r="B406" s="198">
        <v>44221</v>
      </c>
      <c r="C406" s="178">
        <v>77262.19</v>
      </c>
      <c r="D406">
        <f t="shared" si="13"/>
        <v>4.5838201057994965E-3</v>
      </c>
      <c r="E406" s="179">
        <v>35.39</v>
      </c>
      <c r="F406">
        <f t="shared" si="14"/>
        <v>8.2621082621081587E-3</v>
      </c>
      <c r="H406" s="179"/>
      <c r="R406" s="199">
        <v>42219</v>
      </c>
      <c r="S406" s="180">
        <v>4.2919999999999998</v>
      </c>
    </row>
    <row r="407" spans="2:19">
      <c r="B407" s="198">
        <v>44223</v>
      </c>
      <c r="C407" s="178">
        <v>76705.600000000006</v>
      </c>
      <c r="D407">
        <f t="shared" si="13"/>
        <v>-7.2039117710744893E-3</v>
      </c>
      <c r="E407" s="179">
        <v>34.26</v>
      </c>
      <c r="F407">
        <f t="shared" si="14"/>
        <v>-3.1929923707261998E-2</v>
      </c>
      <c r="H407" s="179"/>
      <c r="R407" s="199">
        <v>42220</v>
      </c>
      <c r="S407" s="180">
        <v>4.2919999999999998</v>
      </c>
    </row>
    <row r="408" spans="2:19">
      <c r="B408" s="198">
        <v>44224</v>
      </c>
      <c r="C408" s="178">
        <v>75156.63</v>
      </c>
      <c r="D408">
        <f t="shared" si="13"/>
        <v>-2.019370163325751E-2</v>
      </c>
      <c r="E408" s="179">
        <v>34.04</v>
      </c>
      <c r="F408">
        <f t="shared" si="14"/>
        <v>-6.4214827787506534E-3</v>
      </c>
      <c r="H408" s="179"/>
      <c r="R408" s="199">
        <v>42221</v>
      </c>
      <c r="S408" s="180">
        <v>4.2919999999999998</v>
      </c>
    </row>
    <row r="409" spans="2:19">
      <c r="B409" s="198">
        <v>44225</v>
      </c>
      <c r="C409" s="178">
        <v>74649</v>
      </c>
      <c r="D409">
        <f t="shared" si="13"/>
        <v>-6.7542943317177029E-3</v>
      </c>
      <c r="E409" s="179">
        <v>34.369999999999997</v>
      </c>
      <c r="F409">
        <f t="shared" si="14"/>
        <v>9.6944770857814166E-3</v>
      </c>
      <c r="H409" s="179"/>
      <c r="R409" s="199">
        <v>42222</v>
      </c>
      <c r="S409" s="180">
        <v>4.2919999999999998</v>
      </c>
    </row>
    <row r="410" spans="2:19">
      <c r="B410" s="198">
        <v>44228</v>
      </c>
      <c r="C410" s="178">
        <v>75213.02</v>
      </c>
      <c r="D410">
        <f t="shared" si="13"/>
        <v>7.5556270010315174E-3</v>
      </c>
      <c r="E410" s="179">
        <v>34.71</v>
      </c>
      <c r="F410">
        <f t="shared" si="14"/>
        <v>9.8923479778878498E-3</v>
      </c>
      <c r="H410" s="179"/>
      <c r="R410" s="199">
        <v>42223</v>
      </c>
      <c r="S410" s="180">
        <v>4.2919999999999998</v>
      </c>
    </row>
    <row r="411" spans="2:19">
      <c r="B411" s="198">
        <v>44229</v>
      </c>
      <c r="C411" s="178">
        <v>76350.98</v>
      </c>
      <c r="D411">
        <f t="shared" si="13"/>
        <v>1.5129827255972339E-2</v>
      </c>
      <c r="E411" s="179">
        <v>35.6</v>
      </c>
      <c r="F411">
        <f t="shared" si="14"/>
        <v>2.564102564102555E-2</v>
      </c>
      <c r="H411" s="179"/>
      <c r="R411" s="199">
        <v>42226</v>
      </c>
      <c r="S411" s="180">
        <v>4.2919999999999998</v>
      </c>
    </row>
    <row r="412" spans="2:19">
      <c r="B412" s="198">
        <v>44230</v>
      </c>
      <c r="C412" s="178">
        <v>77041.23</v>
      </c>
      <c r="D412">
        <f t="shared" si="13"/>
        <v>9.0404864482420688E-3</v>
      </c>
      <c r="E412" s="179">
        <v>35.9</v>
      </c>
      <c r="F412">
        <f t="shared" si="14"/>
        <v>8.4269662921347965E-3</v>
      </c>
      <c r="H412" s="179"/>
      <c r="R412" s="199">
        <v>42227</v>
      </c>
      <c r="S412" s="180">
        <v>4.2919999999999998</v>
      </c>
    </row>
    <row r="413" spans="2:19">
      <c r="B413" s="198">
        <v>44231</v>
      </c>
      <c r="C413" s="178">
        <v>76465.990000000005</v>
      </c>
      <c r="D413">
        <f t="shared" si="13"/>
        <v>-7.4666512982722866E-3</v>
      </c>
      <c r="E413" s="179">
        <v>35.26</v>
      </c>
      <c r="F413">
        <f t="shared" si="14"/>
        <v>-1.7827298050139273E-2</v>
      </c>
      <c r="H413" s="179"/>
      <c r="R413" s="199">
        <v>42228</v>
      </c>
      <c r="S413" s="180">
        <v>4.2919999999999998</v>
      </c>
    </row>
    <row r="414" spans="2:19">
      <c r="B414" s="198">
        <v>44232</v>
      </c>
      <c r="C414" s="178">
        <v>77281.34</v>
      </c>
      <c r="D414">
        <f t="shared" si="13"/>
        <v>1.066291039977374E-2</v>
      </c>
      <c r="E414" s="179">
        <v>34.93</v>
      </c>
      <c r="F414">
        <f t="shared" si="14"/>
        <v>-9.3590470788428304E-3</v>
      </c>
      <c r="H414" s="179"/>
      <c r="R414" s="199">
        <v>42229</v>
      </c>
      <c r="S414" s="180">
        <v>4.2919999999999998</v>
      </c>
    </row>
    <row r="415" spans="2:19">
      <c r="B415" s="198">
        <v>44235</v>
      </c>
      <c r="C415" s="178">
        <v>77801.27</v>
      </c>
      <c r="D415">
        <f t="shared" si="13"/>
        <v>6.7277560145826421E-3</v>
      </c>
      <c r="E415" s="179">
        <v>34.78</v>
      </c>
      <c r="F415">
        <f t="shared" si="14"/>
        <v>-4.294302891497237E-3</v>
      </c>
      <c r="H415" s="179"/>
      <c r="R415" s="199">
        <v>42230</v>
      </c>
      <c r="S415" s="180">
        <v>4.2919999999999998</v>
      </c>
    </row>
    <row r="416" spans="2:19">
      <c r="B416" s="198">
        <v>44236</v>
      </c>
      <c r="C416" s="178">
        <v>77163.25</v>
      </c>
      <c r="D416">
        <f t="shared" si="13"/>
        <v>-8.2006373417812251E-3</v>
      </c>
      <c r="E416" s="179">
        <v>34.479999999999997</v>
      </c>
      <c r="F416">
        <f t="shared" si="14"/>
        <v>-8.6256469235194144E-3</v>
      </c>
      <c r="H416" s="179"/>
      <c r="R416" s="199">
        <v>42233</v>
      </c>
      <c r="S416" s="180">
        <v>4.2919999999999998</v>
      </c>
    </row>
    <row r="417" spans="2:19">
      <c r="B417" s="198">
        <v>44237</v>
      </c>
      <c r="C417" s="178">
        <v>77509.02</v>
      </c>
      <c r="D417">
        <f t="shared" si="13"/>
        <v>4.4810191379964781E-3</v>
      </c>
      <c r="E417" s="179">
        <v>34.36</v>
      </c>
      <c r="F417">
        <f t="shared" si="14"/>
        <v>-3.4802784222737193E-3</v>
      </c>
      <c r="H417" s="179"/>
      <c r="R417" s="199">
        <v>42234</v>
      </c>
      <c r="S417" s="180">
        <v>4.2919999999999998</v>
      </c>
    </row>
    <row r="418" spans="2:19">
      <c r="B418" s="198">
        <v>44238</v>
      </c>
      <c r="C418" s="178">
        <v>77381.67</v>
      </c>
      <c r="D418">
        <f t="shared" si="13"/>
        <v>-1.6430345784271827E-3</v>
      </c>
      <c r="E418" s="179">
        <v>34.31</v>
      </c>
      <c r="F418">
        <f t="shared" si="14"/>
        <v>-1.4551804423748038E-3</v>
      </c>
      <c r="H418" s="179"/>
      <c r="R418" s="199">
        <v>42235</v>
      </c>
      <c r="S418" s="180">
        <v>4.2919999999999998</v>
      </c>
    </row>
    <row r="419" spans="2:19">
      <c r="B419" s="198">
        <v>44239</v>
      </c>
      <c r="C419" s="178">
        <v>76951.820000000007</v>
      </c>
      <c r="D419">
        <f t="shared" si="13"/>
        <v>-5.5549330997894941E-3</v>
      </c>
      <c r="E419" s="179">
        <v>34.29</v>
      </c>
      <c r="F419">
        <f t="shared" si="14"/>
        <v>-5.829204313612113E-4</v>
      </c>
      <c r="H419" s="179"/>
      <c r="R419" s="199">
        <v>42236</v>
      </c>
      <c r="S419" s="180">
        <v>4.2919999999999998</v>
      </c>
    </row>
    <row r="420" spans="2:19">
      <c r="B420" s="198">
        <v>44242</v>
      </c>
      <c r="C420" s="178">
        <v>77705.98</v>
      </c>
      <c r="D420">
        <f t="shared" si="13"/>
        <v>9.8004179758190979E-3</v>
      </c>
      <c r="E420" s="179">
        <v>34.229999999999997</v>
      </c>
      <c r="F420">
        <f t="shared" si="14"/>
        <v>-1.7497812773403787E-3</v>
      </c>
      <c r="H420" s="179"/>
      <c r="R420" s="199">
        <v>42237</v>
      </c>
      <c r="S420" s="180">
        <v>4.2919999999999998</v>
      </c>
    </row>
    <row r="421" spans="2:19">
      <c r="B421" s="198">
        <v>44243</v>
      </c>
      <c r="C421" s="178">
        <v>78251.73</v>
      </c>
      <c r="D421">
        <f t="shared" si="13"/>
        <v>7.0232689942266724E-3</v>
      </c>
      <c r="E421" s="179">
        <v>34.26</v>
      </c>
      <c r="F421">
        <f t="shared" si="14"/>
        <v>8.7642418930755639E-4</v>
      </c>
      <c r="H421" s="179"/>
      <c r="R421" s="199">
        <v>42240</v>
      </c>
      <c r="S421" s="180">
        <v>4.2919999999999998</v>
      </c>
    </row>
    <row r="422" spans="2:19">
      <c r="B422" s="198">
        <v>44244</v>
      </c>
      <c r="C422" s="178">
        <v>77920.36</v>
      </c>
      <c r="D422">
        <f t="shared" si="13"/>
        <v>-4.234666760722039E-3</v>
      </c>
      <c r="E422" s="179">
        <v>33.58</v>
      </c>
      <c r="F422">
        <f t="shared" si="14"/>
        <v>-1.9848219497956787E-2</v>
      </c>
      <c r="H422" s="179"/>
      <c r="R422" s="199">
        <v>42241</v>
      </c>
      <c r="S422" s="180">
        <v>4.2919999999999998</v>
      </c>
    </row>
    <row r="423" spans="2:19">
      <c r="B423" s="198">
        <v>44245</v>
      </c>
      <c r="C423" s="178">
        <v>77905.42</v>
      </c>
      <c r="D423">
        <f t="shared" si="13"/>
        <v>-1.9173422710061505E-4</v>
      </c>
      <c r="E423" s="179">
        <v>33.97</v>
      </c>
      <c r="F423">
        <f t="shared" si="14"/>
        <v>1.1614055985705862E-2</v>
      </c>
      <c r="H423" s="179"/>
      <c r="R423" s="199">
        <v>42242</v>
      </c>
      <c r="S423" s="180">
        <v>4.2919999999999998</v>
      </c>
    </row>
    <row r="424" spans="2:19">
      <c r="B424" s="198">
        <v>44246</v>
      </c>
      <c r="C424" s="178">
        <v>76911.5</v>
      </c>
      <c r="D424">
        <f t="shared" si="13"/>
        <v>-1.2758034036656207E-2</v>
      </c>
      <c r="E424" s="179">
        <v>34.22</v>
      </c>
      <c r="F424">
        <f t="shared" si="14"/>
        <v>7.3594347954077932E-3</v>
      </c>
      <c r="H424" s="179"/>
      <c r="R424" s="199">
        <v>42243</v>
      </c>
      <c r="S424" s="180">
        <v>4.2919999999999998</v>
      </c>
    </row>
    <row r="425" spans="2:19">
      <c r="B425" s="198">
        <v>44249</v>
      </c>
      <c r="C425" s="178">
        <v>76892.759999999995</v>
      </c>
      <c r="D425">
        <f t="shared" si="13"/>
        <v>-2.4365667032899552E-4</v>
      </c>
      <c r="E425" s="179">
        <v>33.229999999999997</v>
      </c>
      <c r="F425">
        <f t="shared" si="14"/>
        <v>-2.8930450029222787E-2</v>
      </c>
      <c r="H425" s="179"/>
      <c r="R425" s="199">
        <v>42244</v>
      </c>
      <c r="S425" s="180">
        <v>4.2919999999999998</v>
      </c>
    </row>
    <row r="426" spans="2:19">
      <c r="B426" s="198">
        <v>44250</v>
      </c>
      <c r="C426" s="178">
        <v>77479.520000000004</v>
      </c>
      <c r="D426">
        <f t="shared" si="13"/>
        <v>7.6308874853758812E-3</v>
      </c>
      <c r="E426" s="179">
        <v>33.049999999999997</v>
      </c>
      <c r="F426">
        <f t="shared" si="14"/>
        <v>-5.4167920553715998E-3</v>
      </c>
      <c r="H426" s="179"/>
      <c r="R426" s="199">
        <v>42247</v>
      </c>
      <c r="S426" s="180">
        <v>4.2919999999999998</v>
      </c>
    </row>
    <row r="427" spans="2:19">
      <c r="B427" s="198">
        <v>44251</v>
      </c>
      <c r="C427" s="178">
        <v>76856.03</v>
      </c>
      <c r="D427">
        <f t="shared" si="13"/>
        <v>-8.0471587846698833E-3</v>
      </c>
      <c r="E427" s="179">
        <v>32.86</v>
      </c>
      <c r="F427">
        <f t="shared" si="14"/>
        <v>-5.7488653555218816E-3</v>
      </c>
      <c r="H427" s="179"/>
      <c r="R427" s="199">
        <v>42248</v>
      </c>
      <c r="S427" s="180">
        <v>4.2919999999999998</v>
      </c>
    </row>
    <row r="428" spans="2:19">
      <c r="B428" s="198">
        <v>44252</v>
      </c>
      <c r="C428" s="178">
        <v>77488.679999999993</v>
      </c>
      <c r="D428">
        <f t="shared" si="13"/>
        <v>8.2316247664626641E-3</v>
      </c>
      <c r="E428" s="179">
        <v>33.06</v>
      </c>
      <c r="F428">
        <f t="shared" si="14"/>
        <v>6.0864272671943276E-3</v>
      </c>
      <c r="H428" s="179"/>
      <c r="R428" s="199">
        <v>42249</v>
      </c>
      <c r="S428" s="180">
        <v>4.2919999999999998</v>
      </c>
    </row>
    <row r="429" spans="2:19">
      <c r="B429" s="198">
        <v>44253</v>
      </c>
      <c r="C429" s="178">
        <v>75712.820000000007</v>
      </c>
      <c r="D429">
        <f t="shared" si="13"/>
        <v>-2.2917670039030003E-2</v>
      </c>
      <c r="E429" s="179">
        <v>31.73</v>
      </c>
      <c r="F429">
        <f t="shared" si="14"/>
        <v>-4.0229885057471271E-2</v>
      </c>
      <c r="H429" s="179"/>
      <c r="R429" s="199">
        <v>42250</v>
      </c>
      <c r="S429" s="180">
        <v>4.2919999999999998</v>
      </c>
    </row>
    <row r="430" spans="2:19">
      <c r="B430" s="198">
        <v>44256</v>
      </c>
      <c r="C430" s="178">
        <v>77006.95</v>
      </c>
      <c r="D430">
        <f t="shared" si="13"/>
        <v>1.7092613906072751E-2</v>
      </c>
      <c r="E430" s="179">
        <v>31.85</v>
      </c>
      <c r="F430">
        <f t="shared" si="14"/>
        <v>3.7819098644815696E-3</v>
      </c>
      <c r="H430" s="179"/>
      <c r="R430" s="199">
        <v>42251</v>
      </c>
      <c r="S430" s="180">
        <v>4.2919999999999998</v>
      </c>
    </row>
    <row r="431" spans="2:19">
      <c r="B431" s="198">
        <v>44257</v>
      </c>
      <c r="C431" s="178">
        <v>76655.820000000007</v>
      </c>
      <c r="D431">
        <f t="shared" si="13"/>
        <v>-4.5597183111393269E-3</v>
      </c>
      <c r="E431" s="179">
        <v>31.76</v>
      </c>
      <c r="F431">
        <f t="shared" si="14"/>
        <v>-2.8257456828885141E-3</v>
      </c>
      <c r="H431" s="179"/>
      <c r="R431" s="199">
        <v>42254</v>
      </c>
      <c r="S431" s="180">
        <v>4.2919999999999998</v>
      </c>
    </row>
    <row r="432" spans="2:19">
      <c r="B432" s="198">
        <v>44258</v>
      </c>
      <c r="C432" s="178">
        <v>77314.179999999993</v>
      </c>
      <c r="D432">
        <f t="shared" si="13"/>
        <v>8.5885194366193129E-3</v>
      </c>
      <c r="E432" s="179">
        <v>31.83</v>
      </c>
      <c r="F432">
        <f t="shared" si="14"/>
        <v>2.2040302267001266E-3</v>
      </c>
      <c r="H432" s="179"/>
      <c r="R432" s="199">
        <v>42255</v>
      </c>
      <c r="S432" s="180">
        <v>4.2919999999999998</v>
      </c>
    </row>
    <row r="433" spans="2:19">
      <c r="B433" s="198">
        <v>44259</v>
      </c>
      <c r="C433" s="178">
        <v>76827.259999999995</v>
      </c>
      <c r="D433">
        <f t="shared" si="13"/>
        <v>-6.2979391361325243E-3</v>
      </c>
      <c r="E433" s="179">
        <v>31.42</v>
      </c>
      <c r="F433">
        <f t="shared" si="14"/>
        <v>-1.2880929940307762E-2</v>
      </c>
      <c r="H433" s="179"/>
      <c r="R433" s="199">
        <v>42256</v>
      </c>
      <c r="S433" s="180">
        <v>4.2919999999999998</v>
      </c>
    </row>
    <row r="434" spans="2:19">
      <c r="B434" s="198">
        <v>44260</v>
      </c>
      <c r="C434" s="178">
        <v>76197.240000000005</v>
      </c>
      <c r="D434">
        <f t="shared" si="13"/>
        <v>-8.2004746752648572E-3</v>
      </c>
      <c r="E434" s="179">
        <v>31.32</v>
      </c>
      <c r="F434">
        <f t="shared" si="14"/>
        <v>-3.1826861871420142E-3</v>
      </c>
      <c r="H434" s="179"/>
      <c r="R434" s="199">
        <v>42257</v>
      </c>
      <c r="S434" s="180">
        <v>4.2919999999999998</v>
      </c>
    </row>
    <row r="435" spans="2:19">
      <c r="B435" s="198">
        <v>44263</v>
      </c>
      <c r="C435" s="178">
        <v>76525.460000000006</v>
      </c>
      <c r="D435">
        <f t="shared" si="13"/>
        <v>4.3075051012346766E-3</v>
      </c>
      <c r="E435" s="179">
        <v>31.03</v>
      </c>
      <c r="F435">
        <f t="shared" si="14"/>
        <v>-9.2592592592591894E-3</v>
      </c>
      <c r="H435" s="179"/>
      <c r="R435" s="199">
        <v>42258</v>
      </c>
      <c r="S435" s="180">
        <v>4.2919999999999998</v>
      </c>
    </row>
    <row r="436" spans="2:19">
      <c r="B436" s="198">
        <v>44264</v>
      </c>
      <c r="C436" s="178">
        <v>76852.63</v>
      </c>
      <c r="D436">
        <f t="shared" si="13"/>
        <v>4.2753091585467917E-3</v>
      </c>
      <c r="E436" s="179">
        <v>30.7</v>
      </c>
      <c r="F436">
        <f t="shared" si="14"/>
        <v>-1.0634869481147335E-2</v>
      </c>
      <c r="H436" s="179"/>
      <c r="R436" s="199">
        <v>42261</v>
      </c>
      <c r="S436" s="180">
        <v>4.2919999999999998</v>
      </c>
    </row>
    <row r="437" spans="2:19">
      <c r="B437" s="198">
        <v>44265</v>
      </c>
      <c r="C437" s="178">
        <v>76279.39</v>
      </c>
      <c r="D437">
        <f t="shared" si="13"/>
        <v>-7.4589509818987487E-3</v>
      </c>
      <c r="E437" s="179">
        <v>30.55</v>
      </c>
      <c r="F437">
        <f t="shared" si="14"/>
        <v>-4.8859934853420217E-3</v>
      </c>
      <c r="H437" s="179"/>
      <c r="R437" s="199">
        <v>42262</v>
      </c>
      <c r="S437" s="180">
        <v>4.2919999999999998</v>
      </c>
    </row>
    <row r="438" spans="2:19">
      <c r="B438" s="198">
        <v>44266</v>
      </c>
      <c r="C438" s="178">
        <v>76349.59</v>
      </c>
      <c r="D438">
        <f t="shared" si="13"/>
        <v>9.2030101446805013E-4</v>
      </c>
      <c r="E438" s="179">
        <v>30.49</v>
      </c>
      <c r="F438">
        <f t="shared" si="14"/>
        <v>-1.9639934533551839E-3</v>
      </c>
      <c r="H438" s="179"/>
      <c r="R438" s="199">
        <v>42263</v>
      </c>
      <c r="S438" s="180">
        <v>4.2919999999999998</v>
      </c>
    </row>
    <row r="439" spans="2:19">
      <c r="B439" s="198">
        <v>44267</v>
      </c>
      <c r="C439" s="178">
        <v>77030.240000000005</v>
      </c>
      <c r="D439">
        <f t="shared" si="13"/>
        <v>8.9149136229809134E-3</v>
      </c>
      <c r="E439" s="179">
        <v>31.28</v>
      </c>
      <c r="F439">
        <f t="shared" si="14"/>
        <v>2.5910134470318313E-2</v>
      </c>
      <c r="H439" s="179"/>
      <c r="R439" s="199">
        <v>42264</v>
      </c>
      <c r="S439" s="180">
        <v>4.2919999999999998</v>
      </c>
    </row>
    <row r="440" spans="2:19">
      <c r="B440" s="198">
        <v>44270</v>
      </c>
      <c r="C440" s="178">
        <v>77083.53</v>
      </c>
      <c r="D440">
        <f t="shared" si="13"/>
        <v>6.9180623090359106E-4</v>
      </c>
      <c r="E440" s="179">
        <v>31.38</v>
      </c>
      <c r="F440">
        <f t="shared" si="14"/>
        <v>3.1969309462915874E-3</v>
      </c>
      <c r="H440" s="179"/>
      <c r="R440" s="199">
        <v>42265</v>
      </c>
      <c r="S440" s="180">
        <v>4.2919999999999998</v>
      </c>
    </row>
    <row r="441" spans="2:19">
      <c r="B441" s="198">
        <v>44271</v>
      </c>
      <c r="C441" s="178">
        <v>77747.66</v>
      </c>
      <c r="D441">
        <f t="shared" si="13"/>
        <v>8.6157185588153773E-3</v>
      </c>
      <c r="E441" s="179">
        <v>32.36</v>
      </c>
      <c r="F441">
        <f t="shared" si="14"/>
        <v>3.1230082855321806E-2</v>
      </c>
      <c r="H441" s="179"/>
      <c r="R441" s="199">
        <v>42268</v>
      </c>
      <c r="S441" s="180">
        <v>4.2919999999999998</v>
      </c>
    </row>
    <row r="442" spans="2:19">
      <c r="B442" s="198">
        <v>44272</v>
      </c>
      <c r="C442" s="178">
        <v>77409.820000000007</v>
      </c>
      <c r="D442">
        <f t="shared" si="13"/>
        <v>-4.3453397825734541E-3</v>
      </c>
      <c r="E442" s="179">
        <v>32.56</v>
      </c>
      <c r="F442">
        <f t="shared" si="14"/>
        <v>6.1804697156984112E-3</v>
      </c>
      <c r="H442" s="179"/>
      <c r="R442" s="199">
        <v>42269</v>
      </c>
      <c r="S442" s="180">
        <v>4.2919999999999998</v>
      </c>
    </row>
    <row r="443" spans="2:19">
      <c r="B443" s="198">
        <v>44273</v>
      </c>
      <c r="C443" s="178">
        <v>76923.710000000006</v>
      </c>
      <c r="D443">
        <f t="shared" si="13"/>
        <v>-6.2796942300085146E-3</v>
      </c>
      <c r="E443" s="179">
        <v>32.35</v>
      </c>
      <c r="F443">
        <f t="shared" si="14"/>
        <v>-6.4496314496315099E-3</v>
      </c>
      <c r="H443" s="179"/>
      <c r="R443" s="199">
        <v>42270</v>
      </c>
      <c r="S443" s="180">
        <v>4.2919999999999998</v>
      </c>
    </row>
    <row r="444" spans="2:19">
      <c r="B444" s="198">
        <v>44274</v>
      </c>
      <c r="C444" s="178">
        <v>76440.479999999996</v>
      </c>
      <c r="D444">
        <f t="shared" si="13"/>
        <v>-6.28193829964796E-3</v>
      </c>
      <c r="E444" s="179">
        <v>32.68</v>
      </c>
      <c r="F444">
        <f t="shared" si="14"/>
        <v>1.0200927357032485E-2</v>
      </c>
      <c r="H444" s="179"/>
      <c r="R444" s="199">
        <v>42271</v>
      </c>
      <c r="S444" s="180">
        <v>4.2919999999999998</v>
      </c>
    </row>
    <row r="445" spans="2:19">
      <c r="B445" s="198">
        <v>44277</v>
      </c>
      <c r="C445" s="178">
        <v>76830.350000000006</v>
      </c>
      <c r="D445">
        <f t="shared" si="13"/>
        <v>5.100308109001972E-3</v>
      </c>
      <c r="E445" s="179">
        <v>33.72</v>
      </c>
      <c r="F445">
        <f t="shared" si="14"/>
        <v>3.1823745410036741E-2</v>
      </c>
      <c r="H445" s="179"/>
      <c r="R445" s="199">
        <v>42272</v>
      </c>
      <c r="S445" s="180">
        <v>4.2919999999999998</v>
      </c>
    </row>
    <row r="446" spans="2:19">
      <c r="B446" s="198">
        <v>44278</v>
      </c>
      <c r="C446" s="178">
        <v>76740.149999999994</v>
      </c>
      <c r="D446">
        <f t="shared" si="13"/>
        <v>-1.1740152166430651E-3</v>
      </c>
      <c r="E446" s="179">
        <v>34.909999999999997</v>
      </c>
      <c r="F446">
        <f t="shared" si="14"/>
        <v>3.5290628706998728E-2</v>
      </c>
      <c r="H446" s="179"/>
      <c r="R446" s="199">
        <v>42275</v>
      </c>
      <c r="S446" s="180">
        <v>4.2919999999999998</v>
      </c>
    </row>
    <row r="447" spans="2:19">
      <c r="B447" s="198">
        <v>44279</v>
      </c>
      <c r="C447" s="178">
        <v>77039.990000000005</v>
      </c>
      <c r="D447">
        <f t="shared" si="13"/>
        <v>3.9072115444134248E-3</v>
      </c>
      <c r="E447" s="179">
        <v>35.06</v>
      </c>
      <c r="F447">
        <f t="shared" si="14"/>
        <v>4.2967631051276101E-3</v>
      </c>
      <c r="H447" s="179"/>
      <c r="R447" s="199">
        <v>42276</v>
      </c>
      <c r="S447" s="180">
        <v>4.2919999999999998</v>
      </c>
    </row>
    <row r="448" spans="2:19">
      <c r="B448" s="198">
        <v>44280</v>
      </c>
      <c r="C448" s="178">
        <v>77143.789999999994</v>
      </c>
      <c r="D448">
        <f t="shared" si="13"/>
        <v>1.3473521998119686E-3</v>
      </c>
      <c r="E448" s="179">
        <v>35.619999999999997</v>
      </c>
      <c r="F448">
        <f t="shared" si="14"/>
        <v>1.5972618368510938E-2</v>
      </c>
      <c r="H448" s="179"/>
      <c r="R448" s="199">
        <v>42277</v>
      </c>
      <c r="S448" s="180">
        <v>4.2919999999999998</v>
      </c>
    </row>
    <row r="449" spans="2:19">
      <c r="B449" s="198">
        <v>44281</v>
      </c>
      <c r="C449" s="178">
        <v>77588.350000000006</v>
      </c>
      <c r="D449">
        <f t="shared" si="13"/>
        <v>5.7627451282860065E-3</v>
      </c>
      <c r="E449" s="179">
        <v>35.840000000000003</v>
      </c>
      <c r="F449">
        <f t="shared" si="14"/>
        <v>6.1763054463785938E-3</v>
      </c>
      <c r="H449" s="179"/>
      <c r="R449" s="199">
        <v>42278</v>
      </c>
      <c r="S449" s="180">
        <v>4.2919999999999998</v>
      </c>
    </row>
    <row r="450" spans="2:19">
      <c r="B450" s="198">
        <v>44284</v>
      </c>
      <c r="C450" s="178">
        <v>77297.119999999995</v>
      </c>
      <c r="D450">
        <f t="shared" si="13"/>
        <v>-3.7535274303424071E-3</v>
      </c>
      <c r="E450" s="179">
        <v>35.299999999999997</v>
      </c>
      <c r="F450">
        <f t="shared" si="14"/>
        <v>-1.5066964285714413E-2</v>
      </c>
      <c r="H450" s="179"/>
      <c r="R450" s="199">
        <v>42279</v>
      </c>
      <c r="S450" s="180">
        <v>4.2919999999999998</v>
      </c>
    </row>
    <row r="451" spans="2:19">
      <c r="B451" s="198">
        <v>44285</v>
      </c>
      <c r="C451" s="178">
        <v>76579.8</v>
      </c>
      <c r="D451">
        <f t="shared" si="13"/>
        <v>-9.280035271689191E-3</v>
      </c>
      <c r="E451" s="179">
        <v>35.21</v>
      </c>
      <c r="F451">
        <f t="shared" si="14"/>
        <v>-2.5495750708214304E-3</v>
      </c>
      <c r="H451" s="179"/>
      <c r="R451" s="199">
        <v>42282</v>
      </c>
      <c r="S451" s="180">
        <v>4.2919999999999998</v>
      </c>
    </row>
    <row r="452" spans="2:19">
      <c r="B452" s="198">
        <v>44286</v>
      </c>
      <c r="C452" s="178">
        <v>77108.77</v>
      </c>
      <c r="D452">
        <f t="shared" si="13"/>
        <v>6.9074351199662765E-3</v>
      </c>
      <c r="E452" s="179">
        <v>35.090000000000003</v>
      </c>
      <c r="F452">
        <f t="shared" si="14"/>
        <v>-3.4081226924168595E-3</v>
      </c>
      <c r="H452" s="179"/>
      <c r="R452" s="199">
        <v>42283</v>
      </c>
      <c r="S452" s="180">
        <v>4.2919999999999998</v>
      </c>
    </row>
    <row r="453" spans="2:19">
      <c r="B453" s="198">
        <v>44287</v>
      </c>
      <c r="C453" s="178">
        <v>77627.56</v>
      </c>
      <c r="D453">
        <f t="shared" si="13"/>
        <v>6.7280284719881678E-3</v>
      </c>
      <c r="E453" s="179">
        <v>35.299999999999997</v>
      </c>
      <c r="F453">
        <f t="shared" si="14"/>
        <v>5.9846110002848008E-3</v>
      </c>
      <c r="H453" s="179"/>
      <c r="R453" s="199">
        <v>42284</v>
      </c>
      <c r="S453" s="180">
        <v>4.2919999999999998</v>
      </c>
    </row>
    <row r="454" spans="2:19">
      <c r="B454" s="198">
        <v>44292</v>
      </c>
      <c r="C454" s="178">
        <v>78393.98</v>
      </c>
      <c r="D454">
        <f t="shared" si="13"/>
        <v>9.8730399358166743E-3</v>
      </c>
      <c r="E454" s="179">
        <v>35.42</v>
      </c>
      <c r="F454">
        <f t="shared" si="14"/>
        <v>3.3994334277622773E-3</v>
      </c>
      <c r="H454" s="179"/>
      <c r="R454" s="199">
        <v>42285</v>
      </c>
      <c r="S454" s="180">
        <v>4.2919999999999998</v>
      </c>
    </row>
    <row r="455" spans="2:19">
      <c r="B455" s="198">
        <v>44293</v>
      </c>
      <c r="C455" s="178">
        <v>78874.03</v>
      </c>
      <c r="D455">
        <f t="shared" si="13"/>
        <v>6.123556936387331E-3</v>
      </c>
      <c r="E455" s="179">
        <v>36.31</v>
      </c>
      <c r="F455">
        <f t="shared" si="14"/>
        <v>2.5127046866177283E-2</v>
      </c>
      <c r="H455" s="179"/>
      <c r="R455" s="199">
        <v>42286</v>
      </c>
      <c r="S455" s="180">
        <v>4.2919999999999998</v>
      </c>
    </row>
    <row r="456" spans="2:19">
      <c r="B456" s="198">
        <v>44294</v>
      </c>
      <c r="C456" s="178">
        <v>79675.78</v>
      </c>
      <c r="D456">
        <f t="shared" ref="D456:D519" si="15">(C456/C455)-1</f>
        <v>1.0164942757457718E-2</v>
      </c>
      <c r="E456" s="179">
        <v>35.92</v>
      </c>
      <c r="F456">
        <f t="shared" ref="F456:F519" si="16">(E456/E455)-1</f>
        <v>-1.0740842743045986E-2</v>
      </c>
      <c r="H456" s="179"/>
      <c r="R456" s="199">
        <v>42289</v>
      </c>
      <c r="S456" s="180">
        <v>4.2919999999999998</v>
      </c>
    </row>
    <row r="457" spans="2:19">
      <c r="B457" s="198">
        <v>44295</v>
      </c>
      <c r="C457" s="178">
        <v>79697.06</v>
      </c>
      <c r="D457">
        <f t="shared" si="15"/>
        <v>2.6708241827066992E-4</v>
      </c>
      <c r="E457" s="179">
        <v>35.479999999999997</v>
      </c>
      <c r="F457">
        <f t="shared" si="16"/>
        <v>-1.2249443207127064E-2</v>
      </c>
      <c r="H457" s="179"/>
      <c r="R457" s="199">
        <v>42290</v>
      </c>
      <c r="S457" s="180">
        <v>4.2919999999999998</v>
      </c>
    </row>
    <row r="458" spans="2:19">
      <c r="B458" s="198">
        <v>44298</v>
      </c>
      <c r="C458" s="178">
        <v>79401.3</v>
      </c>
      <c r="D458">
        <f t="shared" si="15"/>
        <v>-3.7110528293012868E-3</v>
      </c>
      <c r="E458" s="179">
        <v>35.479999999999997</v>
      </c>
      <c r="F458">
        <f t="shared" si="16"/>
        <v>0</v>
      </c>
      <c r="H458" s="179"/>
      <c r="R458" s="199">
        <v>42291</v>
      </c>
      <c r="S458" s="180">
        <v>4.2919999999999998</v>
      </c>
    </row>
    <row r="459" spans="2:19">
      <c r="B459" s="198">
        <v>44299</v>
      </c>
      <c r="C459" s="178">
        <v>79464.7</v>
      </c>
      <c r="D459">
        <f t="shared" si="15"/>
        <v>7.9847559170942439E-4</v>
      </c>
      <c r="E459" s="179">
        <v>35.5</v>
      </c>
      <c r="F459">
        <f t="shared" si="16"/>
        <v>5.6369785794818661E-4</v>
      </c>
      <c r="H459" s="179"/>
      <c r="R459" s="199">
        <v>42292</v>
      </c>
      <c r="S459" s="180">
        <v>4.2919999999999998</v>
      </c>
    </row>
    <row r="460" spans="2:19">
      <c r="B460" s="198">
        <v>44300</v>
      </c>
      <c r="C460" s="178">
        <v>80009.990000000005</v>
      </c>
      <c r="D460">
        <f t="shared" si="15"/>
        <v>6.8620406293613545E-3</v>
      </c>
      <c r="E460" s="179">
        <v>36.159999999999997</v>
      </c>
      <c r="F460">
        <f t="shared" si="16"/>
        <v>1.8591549295774445E-2</v>
      </c>
      <c r="H460" s="179"/>
      <c r="R460" s="199">
        <v>42293</v>
      </c>
      <c r="S460" s="180">
        <v>4.2919999999999998</v>
      </c>
    </row>
    <row r="461" spans="2:19">
      <c r="B461" s="198">
        <v>44301</v>
      </c>
      <c r="C461" s="178">
        <v>80414.77</v>
      </c>
      <c r="D461">
        <f t="shared" si="15"/>
        <v>5.0591182426094061E-3</v>
      </c>
      <c r="E461" s="179">
        <v>35.75</v>
      </c>
      <c r="F461">
        <f t="shared" si="16"/>
        <v>-1.1338495575221152E-2</v>
      </c>
      <c r="H461" s="179"/>
      <c r="R461" s="199">
        <v>42296</v>
      </c>
      <c r="S461" s="180">
        <v>4.2919999999999998</v>
      </c>
    </row>
    <row r="462" spans="2:19">
      <c r="B462" s="198">
        <v>44302</v>
      </c>
      <c r="C462" s="178">
        <v>80510.62</v>
      </c>
      <c r="D462">
        <f t="shared" si="15"/>
        <v>1.1919452110600304E-3</v>
      </c>
      <c r="E462" s="179">
        <v>35.71</v>
      </c>
      <c r="F462">
        <f t="shared" si="16"/>
        <v>-1.1188811188811432E-3</v>
      </c>
      <c r="H462" s="179"/>
      <c r="R462" s="199">
        <v>42297</v>
      </c>
      <c r="S462" s="180">
        <v>4.2919999999999998</v>
      </c>
    </row>
    <row r="463" spans="2:19">
      <c r="B463" s="198">
        <v>44305</v>
      </c>
      <c r="C463" s="178">
        <v>80536.7</v>
      </c>
      <c r="D463">
        <f t="shared" si="15"/>
        <v>3.2393242034411962E-4</v>
      </c>
      <c r="E463" s="179">
        <v>35.700000000000003</v>
      </c>
      <c r="F463">
        <f t="shared" si="16"/>
        <v>-2.8003360403239252E-4</v>
      </c>
      <c r="H463" s="179"/>
      <c r="R463" s="199">
        <v>42298</v>
      </c>
      <c r="S463" s="180">
        <v>4.2919999999999998</v>
      </c>
    </row>
    <row r="464" spans="2:19">
      <c r="B464" s="198">
        <v>44306</v>
      </c>
      <c r="C464" s="178">
        <v>80032.14</v>
      </c>
      <c r="D464">
        <f t="shared" si="15"/>
        <v>-6.2649698832953904E-3</v>
      </c>
      <c r="E464" s="179">
        <v>36</v>
      </c>
      <c r="F464">
        <f t="shared" si="16"/>
        <v>8.4033613445377853E-3</v>
      </c>
      <c r="H464" s="179"/>
      <c r="R464" s="199">
        <v>42299</v>
      </c>
      <c r="S464" s="180">
        <v>4.2919999999999998</v>
      </c>
    </row>
    <row r="465" spans="2:19">
      <c r="B465" s="198">
        <v>44307</v>
      </c>
      <c r="C465" s="178">
        <v>79778.83</v>
      </c>
      <c r="D465">
        <f t="shared" si="15"/>
        <v>-3.1651034197011096E-3</v>
      </c>
      <c r="E465" s="179">
        <v>35.72</v>
      </c>
      <c r="F465">
        <f t="shared" si="16"/>
        <v>-7.7777777777777724E-3</v>
      </c>
      <c r="H465" s="179"/>
      <c r="R465" s="199">
        <v>42300</v>
      </c>
      <c r="S465" s="180">
        <v>4.2919999999999998</v>
      </c>
    </row>
    <row r="466" spans="2:19">
      <c r="B466" s="198">
        <v>44308</v>
      </c>
      <c r="C466" s="178">
        <v>80362.19</v>
      </c>
      <c r="D466">
        <f t="shared" si="15"/>
        <v>7.3122155338702921E-3</v>
      </c>
      <c r="E466" s="179">
        <v>36.479999999999997</v>
      </c>
      <c r="F466">
        <f t="shared" si="16"/>
        <v>2.1276595744680771E-2</v>
      </c>
      <c r="H466" s="179"/>
      <c r="R466" s="199">
        <v>42303</v>
      </c>
      <c r="S466" s="180">
        <v>4.2919999999999998</v>
      </c>
    </row>
    <row r="467" spans="2:19">
      <c r="B467" s="198">
        <v>44309</v>
      </c>
      <c r="C467" s="178">
        <v>80458.28</v>
      </c>
      <c r="D467">
        <f t="shared" si="15"/>
        <v>1.1957115653518091E-3</v>
      </c>
      <c r="E467" s="179">
        <v>36.58</v>
      </c>
      <c r="F467">
        <f t="shared" si="16"/>
        <v>2.7412280701755165E-3</v>
      </c>
      <c r="H467" s="179"/>
      <c r="R467" s="199">
        <v>42304</v>
      </c>
      <c r="S467" s="180">
        <v>4.2919999999999998</v>
      </c>
    </row>
    <row r="468" spans="2:19">
      <c r="B468" s="198">
        <v>44312</v>
      </c>
      <c r="C468" s="178">
        <v>80316.69</v>
      </c>
      <c r="D468">
        <f t="shared" si="15"/>
        <v>-1.7597940199566287E-3</v>
      </c>
      <c r="E468" s="179">
        <v>36.29</v>
      </c>
      <c r="F468">
        <f t="shared" si="16"/>
        <v>-7.9278294149808248E-3</v>
      </c>
      <c r="H468" s="179"/>
      <c r="R468" s="199">
        <v>42305</v>
      </c>
      <c r="S468" s="180">
        <v>4.2919999999999998</v>
      </c>
    </row>
    <row r="469" spans="2:19">
      <c r="B469" s="198">
        <v>44313</v>
      </c>
      <c r="C469" s="178">
        <v>80181.64</v>
      </c>
      <c r="D469">
        <f t="shared" si="15"/>
        <v>-1.6814686959834013E-3</v>
      </c>
      <c r="E469" s="179">
        <v>36.24</v>
      </c>
      <c r="F469">
        <f t="shared" si="16"/>
        <v>-1.3777900248000963E-3</v>
      </c>
      <c r="H469" s="179"/>
      <c r="R469" s="199">
        <v>42306</v>
      </c>
      <c r="S469" s="180">
        <v>4.2919999999999998</v>
      </c>
    </row>
    <row r="470" spans="2:19">
      <c r="B470" s="198">
        <v>44314</v>
      </c>
      <c r="C470" s="178">
        <v>80450.570000000007</v>
      </c>
      <c r="D470">
        <f t="shared" si="15"/>
        <v>3.3540097209288078E-3</v>
      </c>
      <c r="E470" s="179">
        <v>36.25</v>
      </c>
      <c r="F470">
        <f t="shared" si="16"/>
        <v>2.7593818984539276E-4</v>
      </c>
      <c r="H470" s="179"/>
      <c r="R470" s="199">
        <v>42307</v>
      </c>
      <c r="S470" s="180">
        <v>4.2919999999999998</v>
      </c>
    </row>
    <row r="471" spans="2:19">
      <c r="B471" s="198">
        <v>44315</v>
      </c>
      <c r="C471" s="178">
        <v>80736.88</v>
      </c>
      <c r="D471">
        <f t="shared" si="15"/>
        <v>3.5588312177279313E-3</v>
      </c>
      <c r="E471" s="179">
        <v>36.54</v>
      </c>
      <c r="F471">
        <f t="shared" si="16"/>
        <v>8.0000000000000071E-3</v>
      </c>
      <c r="H471" s="179"/>
      <c r="R471" s="199">
        <v>42310</v>
      </c>
      <c r="S471" s="180">
        <v>4.2919999999999998</v>
      </c>
    </row>
    <row r="472" spans="2:19">
      <c r="B472" s="198">
        <v>44316</v>
      </c>
      <c r="C472" s="178">
        <v>80128.740000000005</v>
      </c>
      <c r="D472">
        <f t="shared" si="15"/>
        <v>-7.5323693459543595E-3</v>
      </c>
      <c r="E472" s="179">
        <v>35.880000000000003</v>
      </c>
      <c r="F472">
        <f t="shared" si="16"/>
        <v>-1.8062397372742067E-2</v>
      </c>
      <c r="H472" s="179"/>
      <c r="R472" s="199">
        <v>42311</v>
      </c>
      <c r="S472" s="180">
        <v>4.2919999999999998</v>
      </c>
    </row>
    <row r="473" spans="2:19">
      <c r="B473" s="198">
        <v>44319</v>
      </c>
      <c r="C473" s="178">
        <v>80086.179999999993</v>
      </c>
      <c r="D473">
        <f t="shared" si="15"/>
        <v>-5.3114525449937666E-4</v>
      </c>
      <c r="E473" s="179">
        <v>35.729999999999997</v>
      </c>
      <c r="F473">
        <f t="shared" si="16"/>
        <v>-4.180602006689127E-3</v>
      </c>
      <c r="H473" s="179"/>
      <c r="R473" s="199">
        <v>42312</v>
      </c>
      <c r="S473" s="180">
        <v>4.2919999999999998</v>
      </c>
    </row>
    <row r="474" spans="2:19">
      <c r="B474" s="198">
        <v>44320</v>
      </c>
      <c r="C474" s="178">
        <v>80489.66</v>
      </c>
      <c r="D474">
        <f t="shared" si="15"/>
        <v>5.0380727361452049E-3</v>
      </c>
      <c r="E474" s="179">
        <v>35.520000000000003</v>
      </c>
      <c r="F474">
        <f t="shared" si="16"/>
        <v>-5.8774139378671153E-3</v>
      </c>
      <c r="H474" s="179"/>
      <c r="R474" s="199">
        <v>42313</v>
      </c>
      <c r="S474" s="180">
        <v>4.2919999999999998</v>
      </c>
    </row>
    <row r="475" spans="2:19">
      <c r="B475" s="198">
        <v>44321</v>
      </c>
      <c r="C475" s="178">
        <v>80720.27</v>
      </c>
      <c r="D475">
        <f t="shared" si="15"/>
        <v>2.865088509505398E-3</v>
      </c>
      <c r="E475" s="179">
        <v>35.15</v>
      </c>
      <c r="F475">
        <f t="shared" si="16"/>
        <v>-1.0416666666666741E-2</v>
      </c>
      <c r="H475" s="179"/>
      <c r="R475" s="199">
        <v>42314</v>
      </c>
      <c r="S475" s="180">
        <v>4.2919999999999998</v>
      </c>
    </row>
    <row r="476" spans="2:19">
      <c r="B476" s="198">
        <v>44322</v>
      </c>
      <c r="C476" s="178">
        <v>80302.740000000005</v>
      </c>
      <c r="D476">
        <f t="shared" si="15"/>
        <v>-5.172554551663433E-3</v>
      </c>
      <c r="E476" s="179">
        <v>35.130000000000003</v>
      </c>
      <c r="F476">
        <f t="shared" si="16"/>
        <v>-5.6899004267418896E-4</v>
      </c>
      <c r="H476" s="179"/>
      <c r="R476" s="199">
        <v>42317</v>
      </c>
      <c r="S476" s="180">
        <v>4.2919999999999998</v>
      </c>
    </row>
    <row r="477" spans="2:19">
      <c r="B477" s="198">
        <v>44323</v>
      </c>
      <c r="C477" s="178">
        <v>80513.52</v>
      </c>
      <c r="D477">
        <f t="shared" si="15"/>
        <v>2.6248170361309331E-3</v>
      </c>
      <c r="E477" s="179">
        <v>34.840000000000003</v>
      </c>
      <c r="F477">
        <f t="shared" si="16"/>
        <v>-8.2550526615428055E-3</v>
      </c>
      <c r="H477" s="179"/>
      <c r="R477" s="199">
        <v>42318</v>
      </c>
      <c r="S477" s="180">
        <v>4.2919999999999998</v>
      </c>
    </row>
    <row r="478" spans="2:19">
      <c r="B478" s="198">
        <v>44326</v>
      </c>
      <c r="C478" s="178">
        <v>81622.81</v>
      </c>
      <c r="D478">
        <f t="shared" si="15"/>
        <v>1.3777686033351833E-2</v>
      </c>
      <c r="E478" s="179">
        <v>35.130000000000003</v>
      </c>
      <c r="F478">
        <f t="shared" si="16"/>
        <v>8.3237657864523307E-3</v>
      </c>
      <c r="H478" s="179"/>
      <c r="R478" s="199">
        <v>42319</v>
      </c>
      <c r="S478" s="180">
        <v>4.2919999999999998</v>
      </c>
    </row>
    <row r="479" spans="2:19">
      <c r="B479" s="198">
        <v>44327</v>
      </c>
      <c r="C479" s="178">
        <v>80653.81</v>
      </c>
      <c r="D479">
        <f t="shared" si="15"/>
        <v>-1.1871681457670924E-2</v>
      </c>
      <c r="E479" s="179">
        <v>34.81</v>
      </c>
      <c r="F479">
        <f t="shared" si="16"/>
        <v>-9.1090236265299884E-3</v>
      </c>
      <c r="H479" s="179"/>
      <c r="R479" s="199">
        <v>42320</v>
      </c>
      <c r="S479" s="180">
        <v>4.2919999999999998</v>
      </c>
    </row>
    <row r="480" spans="2:19">
      <c r="B480" s="198">
        <v>44328</v>
      </c>
      <c r="C480" s="178">
        <v>80098.850000000006</v>
      </c>
      <c r="D480">
        <f t="shared" si="15"/>
        <v>-6.880766079122469E-3</v>
      </c>
      <c r="E480" s="179">
        <v>34.26</v>
      </c>
      <c r="F480">
        <f t="shared" si="16"/>
        <v>-1.5800057454754546E-2</v>
      </c>
      <c r="H480" s="179"/>
      <c r="R480" s="199">
        <v>42321</v>
      </c>
      <c r="S480" s="180">
        <v>4.2919999999999998</v>
      </c>
    </row>
    <row r="481" spans="2:19">
      <c r="B481" s="198">
        <v>44329</v>
      </c>
      <c r="C481" s="178">
        <v>79450.039999999994</v>
      </c>
      <c r="D481">
        <f t="shared" si="15"/>
        <v>-8.1001162938045823E-3</v>
      </c>
      <c r="E481" s="179">
        <v>34.57</v>
      </c>
      <c r="F481">
        <f t="shared" si="16"/>
        <v>9.0484530064216528E-3</v>
      </c>
      <c r="H481" s="179"/>
      <c r="R481" s="199">
        <v>42324</v>
      </c>
      <c r="S481" s="180">
        <v>4.2919999999999998</v>
      </c>
    </row>
    <row r="482" spans="2:19">
      <c r="B482" s="198">
        <v>44330</v>
      </c>
      <c r="C482" s="178">
        <v>79785.19</v>
      </c>
      <c r="D482">
        <f t="shared" si="15"/>
        <v>4.2183742135311064E-3</v>
      </c>
      <c r="E482" s="179">
        <v>35.36</v>
      </c>
      <c r="F482">
        <f t="shared" si="16"/>
        <v>2.285218397454436E-2</v>
      </c>
      <c r="H482" s="179"/>
      <c r="R482" s="199">
        <v>42325</v>
      </c>
      <c r="S482" s="180">
        <v>4.2919999999999998</v>
      </c>
    </row>
    <row r="483" spans="2:19">
      <c r="B483" s="198">
        <v>44333</v>
      </c>
      <c r="C483" s="178">
        <v>80008.75</v>
      </c>
      <c r="D483">
        <f t="shared" si="15"/>
        <v>2.8020237841133167E-3</v>
      </c>
      <c r="E483" s="179">
        <v>35.1</v>
      </c>
      <c r="F483">
        <f t="shared" si="16"/>
        <v>-7.3529411764705621E-3</v>
      </c>
      <c r="H483" s="179"/>
      <c r="R483" s="199">
        <v>42326</v>
      </c>
      <c r="S483" s="180">
        <v>4.2919999999999998</v>
      </c>
    </row>
    <row r="484" spans="2:19">
      <c r="B484" s="198">
        <v>44334</v>
      </c>
      <c r="C484" s="178">
        <v>80485.490000000005</v>
      </c>
      <c r="D484">
        <f t="shared" si="15"/>
        <v>5.958598278313465E-3</v>
      </c>
      <c r="E484" s="179">
        <v>34.6</v>
      </c>
      <c r="F484">
        <f t="shared" si="16"/>
        <v>-1.4245014245014231E-2</v>
      </c>
      <c r="H484" s="179"/>
      <c r="R484" s="199">
        <v>42327</v>
      </c>
      <c r="S484" s="180">
        <v>4.2919999999999998</v>
      </c>
    </row>
    <row r="485" spans="2:19">
      <c r="B485" s="198">
        <v>44335</v>
      </c>
      <c r="C485" s="178">
        <v>79015.39</v>
      </c>
      <c r="D485">
        <f t="shared" si="15"/>
        <v>-1.8265404111971084E-2</v>
      </c>
      <c r="E485" s="179">
        <v>34.07</v>
      </c>
      <c r="F485">
        <f t="shared" si="16"/>
        <v>-1.531791907514457E-2</v>
      </c>
      <c r="H485" s="179"/>
      <c r="R485" s="199">
        <v>42328</v>
      </c>
      <c r="S485" s="180">
        <v>4.2919999999999998</v>
      </c>
    </row>
    <row r="486" spans="2:19">
      <c r="B486" s="198">
        <v>44336</v>
      </c>
      <c r="C486" s="178">
        <v>79979.710000000006</v>
      </c>
      <c r="D486">
        <f t="shared" si="15"/>
        <v>1.2204204775803973E-2</v>
      </c>
      <c r="E486" s="179">
        <v>34.200000000000003</v>
      </c>
      <c r="F486">
        <f t="shared" si="16"/>
        <v>3.815673613149384E-3</v>
      </c>
      <c r="H486" s="179"/>
      <c r="R486" s="199">
        <v>42331</v>
      </c>
      <c r="S486" s="180">
        <v>4.2919999999999998</v>
      </c>
    </row>
    <row r="487" spans="2:19">
      <c r="B487" s="198">
        <v>44337</v>
      </c>
      <c r="C487" s="178">
        <v>80119.77</v>
      </c>
      <c r="D487">
        <f t="shared" si="15"/>
        <v>1.751194146615509E-3</v>
      </c>
      <c r="E487" s="179">
        <v>34.31</v>
      </c>
      <c r="F487">
        <f t="shared" si="16"/>
        <v>3.216374269005895E-3</v>
      </c>
      <c r="H487" s="179"/>
      <c r="R487" s="199">
        <v>42332</v>
      </c>
      <c r="S487" s="180">
        <v>4.2919999999999998</v>
      </c>
    </row>
    <row r="488" spans="2:19">
      <c r="B488" s="198">
        <v>44340</v>
      </c>
      <c r="C488" s="178">
        <v>80241.75</v>
      </c>
      <c r="D488">
        <f t="shared" si="15"/>
        <v>1.5224706710965652E-3</v>
      </c>
      <c r="E488" s="179">
        <v>34.29</v>
      </c>
      <c r="F488">
        <f t="shared" si="16"/>
        <v>-5.829204313612113E-4</v>
      </c>
      <c r="H488" s="179"/>
      <c r="R488" s="199">
        <v>42333</v>
      </c>
      <c r="S488" s="180">
        <v>4.2919999999999998</v>
      </c>
    </row>
    <row r="489" spans="2:19">
      <c r="B489" s="198">
        <v>44341</v>
      </c>
      <c r="C489" s="178">
        <v>81051.7</v>
      </c>
      <c r="D489">
        <f t="shared" si="15"/>
        <v>1.00938725788009E-2</v>
      </c>
      <c r="E489" s="179">
        <v>34.950000000000003</v>
      </c>
      <c r="F489">
        <f t="shared" si="16"/>
        <v>1.9247594050743722E-2</v>
      </c>
      <c r="H489" s="179"/>
      <c r="R489" s="199">
        <v>42334</v>
      </c>
      <c r="S489" s="180">
        <v>4.2919999999999998</v>
      </c>
    </row>
    <row r="490" spans="2:19">
      <c r="B490" s="198">
        <v>44342</v>
      </c>
      <c r="C490" s="178">
        <v>80858.89</v>
      </c>
      <c r="D490">
        <f t="shared" si="15"/>
        <v>-2.3788520166757587E-3</v>
      </c>
      <c r="E490" s="179">
        <v>34.630000000000003</v>
      </c>
      <c r="F490">
        <f t="shared" si="16"/>
        <v>-9.1559370529327166E-3</v>
      </c>
      <c r="H490" s="179"/>
      <c r="R490" s="199">
        <v>42335</v>
      </c>
      <c r="S490" s="180">
        <v>4.2919999999999998</v>
      </c>
    </row>
    <row r="491" spans="2:19">
      <c r="B491" s="198">
        <v>44343</v>
      </c>
      <c r="C491" s="178">
        <v>80996.72</v>
      </c>
      <c r="D491">
        <f t="shared" si="15"/>
        <v>1.704574475360765E-3</v>
      </c>
      <c r="E491" s="179">
        <v>34.39</v>
      </c>
      <c r="F491">
        <f t="shared" si="16"/>
        <v>-6.9304071614207929E-3</v>
      </c>
      <c r="H491" s="179"/>
      <c r="R491" s="199">
        <v>42338</v>
      </c>
      <c r="S491" s="180">
        <v>4.2919999999999998</v>
      </c>
    </row>
    <row r="492" spans="2:19">
      <c r="B492" s="198">
        <v>44344</v>
      </c>
      <c r="C492" s="178">
        <v>81884.63</v>
      </c>
      <c r="D492">
        <f t="shared" si="15"/>
        <v>1.0962295757161566E-2</v>
      </c>
      <c r="E492" s="179">
        <v>34.82</v>
      </c>
      <c r="F492">
        <f t="shared" si="16"/>
        <v>1.2503634777551564E-2</v>
      </c>
      <c r="H492" s="179"/>
      <c r="R492" s="199">
        <v>42339</v>
      </c>
      <c r="S492" s="180">
        <v>4.2919999999999998</v>
      </c>
    </row>
    <row r="493" spans="2:19">
      <c r="B493" s="198">
        <v>44347</v>
      </c>
      <c r="C493" s="178">
        <v>81695.429999999993</v>
      </c>
      <c r="D493">
        <f t="shared" si="15"/>
        <v>-2.3105679295370996E-3</v>
      </c>
      <c r="E493" s="179">
        <v>34.79</v>
      </c>
      <c r="F493">
        <f t="shared" si="16"/>
        <v>-8.6157380815621298E-4</v>
      </c>
      <c r="H493" s="179"/>
      <c r="R493" s="199">
        <v>42340</v>
      </c>
      <c r="S493" s="180">
        <v>4.2919999999999998</v>
      </c>
    </row>
    <row r="494" spans="2:19">
      <c r="B494" s="198">
        <v>44348</v>
      </c>
      <c r="C494" s="178">
        <v>81534.87</v>
      </c>
      <c r="D494">
        <f t="shared" si="15"/>
        <v>-1.9653486125232877E-3</v>
      </c>
      <c r="E494" s="179">
        <v>34.61</v>
      </c>
      <c r="F494">
        <f t="shared" si="16"/>
        <v>-5.1739005461339804E-3</v>
      </c>
      <c r="H494" s="179"/>
      <c r="R494" s="199">
        <v>42341</v>
      </c>
      <c r="S494" s="180">
        <v>4.2919999999999998</v>
      </c>
    </row>
    <row r="495" spans="2:19">
      <c r="B495" s="198">
        <v>44349</v>
      </c>
      <c r="C495" s="178">
        <v>82381.83</v>
      </c>
      <c r="D495">
        <f t="shared" si="15"/>
        <v>1.0387702831929468E-2</v>
      </c>
      <c r="E495" s="179">
        <v>34.78</v>
      </c>
      <c r="F495">
        <f t="shared" si="16"/>
        <v>4.9118751805836691E-3</v>
      </c>
      <c r="H495" s="179"/>
      <c r="R495" s="199">
        <v>42342</v>
      </c>
      <c r="S495" s="180">
        <v>4.2919999999999998</v>
      </c>
    </row>
    <row r="496" spans="2:19">
      <c r="B496" s="198">
        <v>44350</v>
      </c>
      <c r="C496" s="178">
        <v>82843.740000000005</v>
      </c>
      <c r="D496">
        <f t="shared" si="15"/>
        <v>5.6069402682605851E-3</v>
      </c>
      <c r="E496" s="179">
        <v>34.869999999999997</v>
      </c>
      <c r="F496">
        <f t="shared" si="16"/>
        <v>2.5876940770557244E-3</v>
      </c>
      <c r="H496" s="179"/>
      <c r="R496" s="199">
        <v>42345</v>
      </c>
      <c r="S496" s="180">
        <v>4.2919999999999998</v>
      </c>
    </row>
    <row r="497" spans="2:19">
      <c r="B497" s="198">
        <v>44351</v>
      </c>
      <c r="C497" s="178">
        <v>83203.33</v>
      </c>
      <c r="D497">
        <f t="shared" si="15"/>
        <v>4.3405814368109308E-3</v>
      </c>
      <c r="E497" s="179">
        <v>35.159999999999997</v>
      </c>
      <c r="F497">
        <f t="shared" si="16"/>
        <v>8.3166045311156012E-3</v>
      </c>
      <c r="H497" s="179"/>
      <c r="R497" s="199">
        <v>42346</v>
      </c>
      <c r="S497" s="180">
        <v>4.2919999999999998</v>
      </c>
    </row>
    <row r="498" spans="2:19">
      <c r="B498" s="198">
        <v>44354</v>
      </c>
      <c r="C498" s="178">
        <v>83076.460000000006</v>
      </c>
      <c r="D498">
        <f t="shared" si="15"/>
        <v>-1.5248187782868072E-3</v>
      </c>
      <c r="E498" s="179">
        <v>35.270000000000003</v>
      </c>
      <c r="F498">
        <f t="shared" si="16"/>
        <v>3.1285551763369224E-3</v>
      </c>
      <c r="H498" s="179"/>
      <c r="R498" s="199">
        <v>42347</v>
      </c>
      <c r="S498" s="180">
        <v>4.2919999999999998</v>
      </c>
    </row>
    <row r="499" spans="2:19">
      <c r="B499" s="198">
        <v>44355</v>
      </c>
      <c r="C499" s="178">
        <v>83195.100000000006</v>
      </c>
      <c r="D499">
        <f t="shared" si="15"/>
        <v>1.4280820343091083E-3</v>
      </c>
      <c r="E499" s="179">
        <v>35.520000000000003</v>
      </c>
      <c r="F499">
        <f t="shared" si="16"/>
        <v>7.0881769208959167E-3</v>
      </c>
      <c r="H499" s="179"/>
      <c r="R499" s="199">
        <v>42348</v>
      </c>
      <c r="S499" s="180">
        <v>4.2919999999999998</v>
      </c>
    </row>
    <row r="500" spans="2:19">
      <c r="B500" s="198">
        <v>44356</v>
      </c>
      <c r="C500" s="178">
        <v>82970.61</v>
      </c>
      <c r="D500">
        <f t="shared" si="15"/>
        <v>-2.6983560329876255E-3</v>
      </c>
      <c r="E500" s="179">
        <v>35.630000000000003</v>
      </c>
      <c r="F500">
        <f t="shared" si="16"/>
        <v>3.0968468468468568E-3</v>
      </c>
      <c r="H500" s="179"/>
      <c r="R500" s="199">
        <v>42349</v>
      </c>
      <c r="S500" s="180">
        <v>4.2919999999999998</v>
      </c>
    </row>
    <row r="501" spans="2:19">
      <c r="B501" s="198">
        <v>44357</v>
      </c>
      <c r="C501" s="178">
        <v>83376.66</v>
      </c>
      <c r="D501">
        <f t="shared" si="15"/>
        <v>4.8939015875621994E-3</v>
      </c>
      <c r="E501" s="179">
        <v>35.83</v>
      </c>
      <c r="F501">
        <f t="shared" si="16"/>
        <v>5.6132472635417319E-3</v>
      </c>
      <c r="H501" s="179"/>
      <c r="R501" s="199">
        <v>42352</v>
      </c>
      <c r="S501" s="180">
        <v>4.2919999999999998</v>
      </c>
    </row>
    <row r="502" spans="2:19">
      <c r="B502" s="198">
        <v>44358</v>
      </c>
      <c r="C502" s="178">
        <v>83586.59</v>
      </c>
      <c r="D502">
        <f t="shared" si="15"/>
        <v>2.5178509189500708E-3</v>
      </c>
      <c r="E502" s="179">
        <v>35.6</v>
      </c>
      <c r="F502">
        <f t="shared" si="16"/>
        <v>-6.4192017862125805E-3</v>
      </c>
      <c r="H502" s="179"/>
      <c r="R502" s="199">
        <v>42353</v>
      </c>
      <c r="S502" s="180">
        <v>4.2919999999999998</v>
      </c>
    </row>
    <row r="503" spans="2:19">
      <c r="B503" s="198">
        <v>44362</v>
      </c>
      <c r="C503" s="178">
        <v>84201.52</v>
      </c>
      <c r="D503">
        <f t="shared" si="15"/>
        <v>7.3568020899046349E-3</v>
      </c>
      <c r="E503" s="179">
        <v>36.46</v>
      </c>
      <c r="F503">
        <f t="shared" si="16"/>
        <v>2.4157303370786476E-2</v>
      </c>
      <c r="H503" s="179"/>
      <c r="R503" s="199">
        <v>42354</v>
      </c>
      <c r="S503" s="180">
        <v>4.2919999999999998</v>
      </c>
    </row>
    <row r="504" spans="2:19">
      <c r="B504" s="198">
        <v>44363</v>
      </c>
      <c r="C504" s="178">
        <v>84205.95</v>
      </c>
      <c r="D504">
        <f t="shared" si="15"/>
        <v>5.2611876840247263E-5</v>
      </c>
      <c r="E504" s="179">
        <v>36.69</v>
      </c>
      <c r="F504">
        <f t="shared" si="16"/>
        <v>6.3082830499177067E-3</v>
      </c>
      <c r="H504" s="179"/>
      <c r="R504" s="199">
        <v>42355</v>
      </c>
      <c r="S504" s="180">
        <v>4.2919999999999998</v>
      </c>
    </row>
    <row r="505" spans="2:19">
      <c r="B505" s="198">
        <v>44364</v>
      </c>
      <c r="C505" s="178">
        <v>83843.69</v>
      </c>
      <c r="D505">
        <f t="shared" si="15"/>
        <v>-4.3020712906866043E-3</v>
      </c>
      <c r="E505" s="179">
        <v>37.03</v>
      </c>
      <c r="F505">
        <f t="shared" si="16"/>
        <v>9.2668301989644597E-3</v>
      </c>
      <c r="H505" s="179"/>
      <c r="R505" s="199">
        <v>42356</v>
      </c>
      <c r="S505" s="180">
        <v>4.2919999999999998</v>
      </c>
    </row>
    <row r="506" spans="2:19">
      <c r="B506" s="198">
        <v>44365</v>
      </c>
      <c r="C506" s="178">
        <v>84105.77</v>
      </c>
      <c r="D506">
        <f t="shared" si="15"/>
        <v>3.1258166237673191E-3</v>
      </c>
      <c r="E506" s="179">
        <v>37.81</v>
      </c>
      <c r="F506">
        <f t="shared" si="16"/>
        <v>2.1064002160410489E-2</v>
      </c>
      <c r="H506" s="179"/>
      <c r="R506" s="199">
        <v>42359</v>
      </c>
      <c r="S506" s="180">
        <v>4.2919999999999998</v>
      </c>
    </row>
    <row r="507" spans="2:19">
      <c r="B507" s="198">
        <v>44368</v>
      </c>
      <c r="C507" s="178">
        <v>82571.179999999993</v>
      </c>
      <c r="D507">
        <f t="shared" si="15"/>
        <v>-1.8245953874508336E-2</v>
      </c>
      <c r="E507" s="179">
        <v>37.54</v>
      </c>
      <c r="F507">
        <f t="shared" si="16"/>
        <v>-7.1409679978842178E-3</v>
      </c>
      <c r="H507" s="179"/>
      <c r="R507" s="199">
        <v>42360</v>
      </c>
      <c r="S507" s="180">
        <v>4.2919999999999998</v>
      </c>
    </row>
    <row r="508" spans="2:19">
      <c r="B508" s="198">
        <v>44369</v>
      </c>
      <c r="C508" s="178">
        <v>83757.53</v>
      </c>
      <c r="D508">
        <f t="shared" si="15"/>
        <v>1.4367603805589324E-2</v>
      </c>
      <c r="E508" s="179">
        <v>37.94</v>
      </c>
      <c r="F508">
        <f t="shared" si="16"/>
        <v>1.0655301012253648E-2</v>
      </c>
      <c r="H508" s="179"/>
      <c r="R508" s="199">
        <v>42361</v>
      </c>
      <c r="S508" s="180">
        <v>4.2919999999999998</v>
      </c>
    </row>
    <row r="509" spans="2:19">
      <c r="B509" s="198">
        <v>44370</v>
      </c>
      <c r="C509" s="178">
        <v>83311.48</v>
      </c>
      <c r="D509">
        <f t="shared" si="15"/>
        <v>-5.3254913319435992E-3</v>
      </c>
      <c r="E509" s="179">
        <v>37.74</v>
      </c>
      <c r="F509">
        <f t="shared" si="16"/>
        <v>-5.2714812862413307E-3</v>
      </c>
      <c r="H509" s="179"/>
      <c r="R509" s="199">
        <v>42362</v>
      </c>
      <c r="S509" s="180">
        <v>4.2919999999999998</v>
      </c>
    </row>
    <row r="510" spans="2:19">
      <c r="B510" s="198">
        <v>44371</v>
      </c>
      <c r="C510" s="178">
        <v>83169.22</v>
      </c>
      <c r="D510">
        <f t="shared" si="15"/>
        <v>-1.7075677925778576E-3</v>
      </c>
      <c r="E510" s="179">
        <v>37.39</v>
      </c>
      <c r="F510">
        <f t="shared" si="16"/>
        <v>-9.2739798622152314E-3</v>
      </c>
      <c r="H510" s="179"/>
      <c r="R510" s="199">
        <v>42367</v>
      </c>
      <c r="S510" s="180">
        <v>4.2919999999999998</v>
      </c>
    </row>
    <row r="511" spans="2:19">
      <c r="B511" s="198">
        <v>44372</v>
      </c>
      <c r="C511" s="178">
        <v>83604.47</v>
      </c>
      <c r="D511">
        <f t="shared" si="15"/>
        <v>5.2333062640241845E-3</v>
      </c>
      <c r="E511" s="179">
        <v>36.700000000000003</v>
      </c>
      <c r="F511">
        <f t="shared" si="16"/>
        <v>-1.8454132120887867E-2</v>
      </c>
      <c r="H511" s="179"/>
      <c r="R511" s="199">
        <v>42368</v>
      </c>
      <c r="S511" s="180">
        <v>4.2919999999999998</v>
      </c>
    </row>
    <row r="512" spans="2:19">
      <c r="B512" s="198">
        <v>44375</v>
      </c>
      <c r="C512" s="178">
        <v>83537.05</v>
      </c>
      <c r="D512">
        <f t="shared" si="15"/>
        <v>-8.0641621195609581E-4</v>
      </c>
      <c r="E512" s="179">
        <v>37.270000000000003</v>
      </c>
      <c r="F512">
        <f t="shared" si="16"/>
        <v>1.5531335149863823E-2</v>
      </c>
      <c r="H512" s="179"/>
      <c r="R512" s="199">
        <v>42369</v>
      </c>
      <c r="S512" s="180">
        <v>4.2919999999999998</v>
      </c>
    </row>
    <row r="513" spans="2:19">
      <c r="B513" s="198">
        <v>44376</v>
      </c>
      <c r="C513" s="178">
        <v>83570.94</v>
      </c>
      <c r="D513">
        <f t="shared" si="15"/>
        <v>4.0568825449316392E-4</v>
      </c>
      <c r="E513" s="179">
        <v>37.880000000000003</v>
      </c>
      <c r="F513">
        <f t="shared" si="16"/>
        <v>1.6367051247652142E-2</v>
      </c>
      <c r="H513" s="179"/>
      <c r="R513" s="199">
        <v>42373</v>
      </c>
      <c r="S513" s="180">
        <v>4.2919999999999998</v>
      </c>
    </row>
    <row r="514" spans="2:19">
      <c r="B514" s="198">
        <v>44377</v>
      </c>
      <c r="C514" s="178">
        <v>83786.320000000007</v>
      </c>
      <c r="D514">
        <f t="shared" si="15"/>
        <v>2.5772116479725327E-3</v>
      </c>
      <c r="E514" s="179">
        <v>38.4</v>
      </c>
      <c r="F514">
        <f t="shared" si="16"/>
        <v>1.3727560718056919E-2</v>
      </c>
      <c r="H514" s="179"/>
      <c r="R514" s="199">
        <v>42374</v>
      </c>
      <c r="S514" s="180">
        <v>4.2919999999999998</v>
      </c>
    </row>
    <row r="515" spans="2:19">
      <c r="B515" s="198">
        <v>44378</v>
      </c>
      <c r="C515" s="178">
        <v>83310.070000000007</v>
      </c>
      <c r="D515">
        <f t="shared" si="15"/>
        <v>-5.6841021302761474E-3</v>
      </c>
      <c r="E515" s="179">
        <v>38.08</v>
      </c>
      <c r="F515">
        <f t="shared" si="16"/>
        <v>-8.3333333333333037E-3</v>
      </c>
      <c r="H515" s="179"/>
      <c r="R515" s="199">
        <v>42375</v>
      </c>
      <c r="S515" s="180">
        <v>4.2919999999999998</v>
      </c>
    </row>
    <row r="516" spans="2:19">
      <c r="B516" s="198">
        <v>44379</v>
      </c>
      <c r="C516" s="178">
        <v>83813.03</v>
      </c>
      <c r="D516">
        <f t="shared" si="15"/>
        <v>6.0372053462443009E-3</v>
      </c>
      <c r="E516" s="179">
        <v>38.06</v>
      </c>
      <c r="F516">
        <f t="shared" si="16"/>
        <v>-5.2521008403350056E-4</v>
      </c>
      <c r="H516" s="179"/>
      <c r="R516" s="199">
        <v>42376</v>
      </c>
      <c r="S516" s="180">
        <v>4.2919999999999998</v>
      </c>
    </row>
    <row r="517" spans="2:19">
      <c r="B517" s="198">
        <v>44382</v>
      </c>
      <c r="C517" s="178">
        <v>83834.61</v>
      </c>
      <c r="D517">
        <f t="shared" si="15"/>
        <v>2.5747786471863598E-4</v>
      </c>
      <c r="E517" s="179">
        <v>37.840000000000003</v>
      </c>
      <c r="F517">
        <f t="shared" si="16"/>
        <v>-5.7803468208091902E-3</v>
      </c>
      <c r="H517" s="179"/>
      <c r="R517" s="199">
        <v>42377</v>
      </c>
      <c r="S517" s="180">
        <v>4.2919999999999998</v>
      </c>
    </row>
    <row r="518" spans="2:19">
      <c r="B518" s="198">
        <v>44383</v>
      </c>
      <c r="C518" s="178">
        <v>83198.58</v>
      </c>
      <c r="D518">
        <f t="shared" si="15"/>
        <v>-7.5867234308121256E-3</v>
      </c>
      <c r="E518" s="179">
        <v>36.96</v>
      </c>
      <c r="F518">
        <f t="shared" si="16"/>
        <v>-2.3255813953488413E-2</v>
      </c>
      <c r="H518" s="179"/>
      <c r="R518" s="199">
        <v>42380</v>
      </c>
      <c r="S518" s="180">
        <v>4.2919999999999998</v>
      </c>
    </row>
    <row r="519" spans="2:19">
      <c r="B519" s="198">
        <v>44384</v>
      </c>
      <c r="C519" s="178">
        <v>83954.17</v>
      </c>
      <c r="D519">
        <f t="shared" si="15"/>
        <v>9.0817655782104989E-3</v>
      </c>
      <c r="E519" s="179">
        <v>37.69</v>
      </c>
      <c r="F519">
        <f t="shared" si="16"/>
        <v>1.9751082251082241E-2</v>
      </c>
      <c r="H519" s="179"/>
      <c r="R519" s="199">
        <v>42381</v>
      </c>
      <c r="S519" s="180">
        <v>4.2919999999999998</v>
      </c>
    </row>
    <row r="520" spans="2:19">
      <c r="B520" s="198">
        <v>44385</v>
      </c>
      <c r="C520" s="178">
        <v>84126.03</v>
      </c>
      <c r="D520">
        <f t="shared" ref="D520:D583" si="17">(C520/C519)-1</f>
        <v>2.0470692521883382E-3</v>
      </c>
      <c r="E520" s="179">
        <v>37.67</v>
      </c>
      <c r="F520">
        <f t="shared" ref="F520:F583" si="18">(E520/E519)-1</f>
        <v>-5.3064473335096007E-4</v>
      </c>
      <c r="H520" s="179"/>
      <c r="R520" s="199">
        <v>42382</v>
      </c>
      <c r="S520" s="180">
        <v>4.2919999999999998</v>
      </c>
    </row>
    <row r="521" spans="2:19">
      <c r="B521" s="198">
        <v>44386</v>
      </c>
      <c r="C521" s="178">
        <v>83356.740000000005</v>
      </c>
      <c r="D521">
        <f t="shared" si="17"/>
        <v>-9.1444942784058014E-3</v>
      </c>
      <c r="E521" s="179">
        <v>38.03</v>
      </c>
      <c r="F521">
        <f t="shared" si="18"/>
        <v>9.5566764003185423E-3</v>
      </c>
      <c r="H521" s="179"/>
      <c r="R521" s="199">
        <v>42383</v>
      </c>
      <c r="S521" s="180">
        <v>4.2919999999999998</v>
      </c>
    </row>
    <row r="522" spans="2:19">
      <c r="B522" s="198">
        <v>44389</v>
      </c>
      <c r="C522" s="178">
        <v>84015.66</v>
      </c>
      <c r="D522">
        <f t="shared" si="17"/>
        <v>7.9048196942441695E-3</v>
      </c>
      <c r="E522" s="179">
        <v>38.049999999999997</v>
      </c>
      <c r="F522">
        <f t="shared" si="18"/>
        <v>5.2590060478552303E-4</v>
      </c>
      <c r="H522" s="179"/>
      <c r="R522" s="199">
        <v>42384</v>
      </c>
      <c r="S522" s="180">
        <v>4.2919999999999998</v>
      </c>
    </row>
    <row r="523" spans="2:19">
      <c r="B523" s="198">
        <v>44390</v>
      </c>
      <c r="C523" s="178">
        <v>84096.21</v>
      </c>
      <c r="D523">
        <f t="shared" si="17"/>
        <v>9.587498330667632E-4</v>
      </c>
      <c r="E523" s="179">
        <v>38.659999999999997</v>
      </c>
      <c r="F523">
        <f t="shared" si="18"/>
        <v>1.6031537450722722E-2</v>
      </c>
      <c r="H523" s="179"/>
      <c r="R523" s="199">
        <v>42387</v>
      </c>
      <c r="S523" s="180">
        <v>4.2919999999999998</v>
      </c>
    </row>
    <row r="524" spans="2:19">
      <c r="B524" s="198">
        <v>44391</v>
      </c>
      <c r="C524" s="178">
        <v>84313.39</v>
      </c>
      <c r="D524">
        <f t="shared" si="17"/>
        <v>2.5825182847121209E-3</v>
      </c>
      <c r="E524" s="179">
        <v>38.840000000000003</v>
      </c>
      <c r="F524">
        <f t="shared" si="18"/>
        <v>4.6559751681325423E-3</v>
      </c>
      <c r="H524" s="179"/>
      <c r="R524" s="199">
        <v>42388</v>
      </c>
      <c r="S524" s="180">
        <v>4.2919999999999998</v>
      </c>
    </row>
    <row r="525" spans="2:19">
      <c r="B525" s="198">
        <v>44392</v>
      </c>
      <c r="C525" s="178">
        <v>84145.3</v>
      </c>
      <c r="D525">
        <f t="shared" si="17"/>
        <v>-1.99363351420212E-3</v>
      </c>
      <c r="E525" s="179">
        <v>38.76</v>
      </c>
      <c r="F525">
        <f t="shared" si="18"/>
        <v>-2.059732234809597E-3</v>
      </c>
      <c r="H525" s="179"/>
      <c r="R525" s="199">
        <v>42389</v>
      </c>
      <c r="S525" s="180">
        <v>4.2919999999999998</v>
      </c>
    </row>
    <row r="526" spans="2:19">
      <c r="B526" s="198">
        <v>44393</v>
      </c>
      <c r="C526" s="178">
        <v>84301.119999999995</v>
      </c>
      <c r="D526">
        <f t="shared" si="17"/>
        <v>1.8517968323839007E-3</v>
      </c>
      <c r="E526" s="179">
        <v>39.090000000000003</v>
      </c>
      <c r="F526">
        <f t="shared" si="18"/>
        <v>8.5139318885449899E-3</v>
      </c>
      <c r="H526" s="179"/>
      <c r="R526" s="199">
        <v>42390</v>
      </c>
      <c r="S526" s="180">
        <v>4.2919999999999998</v>
      </c>
    </row>
    <row r="527" spans="2:19">
      <c r="B527" s="198">
        <v>44396</v>
      </c>
      <c r="C527" s="178">
        <v>83517.73</v>
      </c>
      <c r="D527">
        <f t="shared" si="17"/>
        <v>-9.2927590997604614E-3</v>
      </c>
      <c r="E527" s="179">
        <v>39.840000000000003</v>
      </c>
      <c r="F527">
        <f t="shared" si="18"/>
        <v>1.9186492709132752E-2</v>
      </c>
      <c r="H527" s="179"/>
      <c r="R527" s="199">
        <v>42391</v>
      </c>
      <c r="S527" s="180">
        <v>4.2919999999999998</v>
      </c>
    </row>
    <row r="528" spans="2:19">
      <c r="B528" s="198">
        <v>44397</v>
      </c>
      <c r="C528" s="178">
        <v>83142.990000000005</v>
      </c>
      <c r="D528">
        <f t="shared" si="17"/>
        <v>-4.4869514533021349E-3</v>
      </c>
      <c r="E528" s="179">
        <v>39.590000000000003</v>
      </c>
      <c r="F528">
        <f t="shared" si="18"/>
        <v>-6.2751004016063927E-3</v>
      </c>
      <c r="H528" s="179"/>
      <c r="R528" s="199">
        <v>42394</v>
      </c>
      <c r="S528" s="180">
        <v>4.2919999999999998</v>
      </c>
    </row>
    <row r="529" spans="2:19">
      <c r="B529" s="198">
        <v>44398</v>
      </c>
      <c r="C529" s="178">
        <v>83750.960000000006</v>
      </c>
      <c r="D529">
        <f t="shared" si="17"/>
        <v>7.3123422672194405E-3</v>
      </c>
      <c r="E529" s="179">
        <v>40.07</v>
      </c>
      <c r="F529">
        <f t="shared" si="18"/>
        <v>1.2124273806516817E-2</v>
      </c>
      <c r="H529" s="179"/>
      <c r="R529" s="199">
        <v>42396</v>
      </c>
      <c r="S529" s="180">
        <v>4.2919999999999998</v>
      </c>
    </row>
    <row r="530" spans="2:19">
      <c r="B530" s="198">
        <v>44399</v>
      </c>
      <c r="C530" s="178">
        <v>84613.19</v>
      </c>
      <c r="D530">
        <f t="shared" si="17"/>
        <v>1.0295165571833298E-2</v>
      </c>
      <c r="E530" s="179">
        <v>39.56</v>
      </c>
      <c r="F530">
        <f t="shared" si="18"/>
        <v>-1.2727726478662271E-2</v>
      </c>
      <c r="H530" s="179"/>
      <c r="R530" s="199">
        <v>42397</v>
      </c>
      <c r="S530" s="180">
        <v>4.2919999999999998</v>
      </c>
    </row>
    <row r="531" spans="2:19">
      <c r="B531" s="198">
        <v>44400</v>
      </c>
      <c r="C531" s="178">
        <v>84745.52</v>
      </c>
      <c r="D531">
        <f t="shared" si="17"/>
        <v>1.5639405629310765E-3</v>
      </c>
      <c r="E531" s="179">
        <v>40.1</v>
      </c>
      <c r="F531">
        <f t="shared" si="18"/>
        <v>1.3650151668351818E-2</v>
      </c>
      <c r="H531" s="179"/>
      <c r="R531" s="199">
        <v>42398</v>
      </c>
      <c r="S531" s="180">
        <v>4.2919999999999998</v>
      </c>
    </row>
    <row r="532" spans="2:19">
      <c r="B532" s="198">
        <v>44403</v>
      </c>
      <c r="C532" s="178">
        <v>84741.43</v>
      </c>
      <c r="D532">
        <f t="shared" si="17"/>
        <v>-4.8262138222843198E-5</v>
      </c>
      <c r="E532" s="179">
        <v>40.1</v>
      </c>
      <c r="F532">
        <f t="shared" si="18"/>
        <v>0</v>
      </c>
      <c r="H532" s="179"/>
      <c r="R532" s="199">
        <v>42401</v>
      </c>
      <c r="S532" s="180">
        <v>4.2919999999999998</v>
      </c>
    </row>
    <row r="533" spans="2:19">
      <c r="B533" s="198">
        <v>44404</v>
      </c>
      <c r="C533" s="178">
        <v>85111.63</v>
      </c>
      <c r="D533">
        <f t="shared" si="17"/>
        <v>4.3685833481923453E-3</v>
      </c>
      <c r="E533" s="179">
        <v>39.880000000000003</v>
      </c>
      <c r="F533">
        <f t="shared" si="18"/>
        <v>-5.4862842892767771E-3</v>
      </c>
      <c r="H533" s="179"/>
      <c r="R533" s="199">
        <v>42402</v>
      </c>
      <c r="S533" s="180">
        <v>4.2919999999999998</v>
      </c>
    </row>
    <row r="534" spans="2:19">
      <c r="B534" s="198">
        <v>44405</v>
      </c>
      <c r="C534" s="178">
        <v>84510.46</v>
      </c>
      <c r="D534">
        <f t="shared" si="17"/>
        <v>-7.063312029155111E-3</v>
      </c>
      <c r="E534" s="179">
        <v>39.950000000000003</v>
      </c>
      <c r="F534">
        <f t="shared" si="18"/>
        <v>1.7552657973922692E-3</v>
      </c>
      <c r="H534" s="179"/>
      <c r="R534" s="199">
        <v>42403</v>
      </c>
      <c r="S534" s="180">
        <v>4.2919999999999998</v>
      </c>
    </row>
    <row r="535" spans="2:19">
      <c r="B535" s="198">
        <v>44406</v>
      </c>
      <c r="C535" s="178">
        <v>85014.73</v>
      </c>
      <c r="D535">
        <f t="shared" si="17"/>
        <v>5.9669536765034614E-3</v>
      </c>
      <c r="E535" s="179">
        <v>40.22</v>
      </c>
      <c r="F535">
        <f t="shared" si="18"/>
        <v>6.758448060075084E-3</v>
      </c>
      <c r="H535" s="179"/>
      <c r="R535" s="199">
        <v>42404</v>
      </c>
      <c r="S535" s="180">
        <v>4.2919999999999998</v>
      </c>
    </row>
    <row r="536" spans="2:19">
      <c r="B536" s="198">
        <v>44407</v>
      </c>
      <c r="C536" s="178">
        <v>84671.62</v>
      </c>
      <c r="D536">
        <f t="shared" si="17"/>
        <v>-4.0358888394987913E-3</v>
      </c>
      <c r="E536" s="179">
        <v>40.020000000000003</v>
      </c>
      <c r="F536">
        <f t="shared" si="18"/>
        <v>-4.97265042267514E-3</v>
      </c>
      <c r="H536" s="179"/>
      <c r="R536" s="199">
        <v>42405</v>
      </c>
      <c r="S536" s="180">
        <v>4.2919999999999998</v>
      </c>
    </row>
    <row r="537" spans="2:19">
      <c r="B537" s="198">
        <v>44410</v>
      </c>
      <c r="C537" s="178">
        <v>85735.47</v>
      </c>
      <c r="D537">
        <f t="shared" si="17"/>
        <v>1.2564422412137732E-2</v>
      </c>
      <c r="E537" s="179">
        <v>40.35</v>
      </c>
      <c r="F537">
        <f t="shared" si="18"/>
        <v>8.2458770614692867E-3</v>
      </c>
      <c r="H537" s="179"/>
      <c r="R537" s="199">
        <v>42408</v>
      </c>
      <c r="S537" s="180">
        <v>4.2919999999999998</v>
      </c>
    </row>
    <row r="538" spans="2:19">
      <c r="B538" s="198">
        <v>44411</v>
      </c>
      <c r="C538" s="178">
        <v>85625.34</v>
      </c>
      <c r="D538">
        <f t="shared" si="17"/>
        <v>-1.2845325277858199E-3</v>
      </c>
      <c r="E538" s="179">
        <v>40.51</v>
      </c>
      <c r="F538">
        <f t="shared" si="18"/>
        <v>3.9653035935562908E-3</v>
      </c>
      <c r="H538" s="179"/>
      <c r="R538" s="199">
        <v>42409</v>
      </c>
      <c r="S538" s="180">
        <v>4.2919999999999998</v>
      </c>
    </row>
    <row r="539" spans="2:19">
      <c r="B539" s="198">
        <v>44412</v>
      </c>
      <c r="C539" s="178">
        <v>85936.95</v>
      </c>
      <c r="D539">
        <f t="shared" si="17"/>
        <v>3.6392264252615991E-3</v>
      </c>
      <c r="E539" s="179">
        <v>40.4</v>
      </c>
      <c r="F539">
        <f t="shared" si="18"/>
        <v>-2.7153789187854827E-3</v>
      </c>
      <c r="H539" s="179"/>
      <c r="R539" s="199">
        <v>42410</v>
      </c>
      <c r="S539" s="180">
        <v>4.2919999999999998</v>
      </c>
    </row>
    <row r="540" spans="2:19">
      <c r="B540" s="198">
        <v>44413</v>
      </c>
      <c r="C540" s="178">
        <v>85946.74</v>
      </c>
      <c r="D540">
        <f t="shared" si="17"/>
        <v>1.1392072909277573E-4</v>
      </c>
      <c r="E540" s="179">
        <v>40.72</v>
      </c>
      <c r="F540">
        <f t="shared" si="18"/>
        <v>7.9207920792079278E-3</v>
      </c>
      <c r="H540" s="179"/>
      <c r="R540" s="199">
        <v>42411</v>
      </c>
      <c r="S540" s="180">
        <v>4.2919999999999998</v>
      </c>
    </row>
    <row r="541" spans="2:19">
      <c r="B541" s="198">
        <v>44414</v>
      </c>
      <c r="C541" s="178">
        <v>86244.25</v>
      </c>
      <c r="D541">
        <f t="shared" si="17"/>
        <v>3.4615623582696653E-3</v>
      </c>
      <c r="E541" s="179">
        <v>40.54</v>
      </c>
      <c r="F541">
        <f t="shared" si="18"/>
        <v>-4.4204322200392943E-3</v>
      </c>
      <c r="H541" s="179"/>
      <c r="R541" s="199">
        <v>42412</v>
      </c>
      <c r="S541" s="180">
        <v>4.2919999999999998</v>
      </c>
    </row>
    <row r="542" spans="2:19">
      <c r="B542" s="198">
        <v>44417</v>
      </c>
      <c r="C542" s="178">
        <v>86220.19</v>
      </c>
      <c r="D542">
        <f t="shared" si="17"/>
        <v>-2.7897512008046021E-4</v>
      </c>
      <c r="E542" s="179">
        <v>40.799999999999997</v>
      </c>
      <c r="F542">
        <f t="shared" si="18"/>
        <v>6.4134188455846619E-3</v>
      </c>
      <c r="H542" s="179"/>
      <c r="R542" s="199">
        <v>42415</v>
      </c>
      <c r="S542" s="180">
        <v>4.2919999999999998</v>
      </c>
    </row>
    <row r="543" spans="2:19">
      <c r="B543" s="198">
        <v>44418</v>
      </c>
      <c r="C543" s="178">
        <v>86508.99</v>
      </c>
      <c r="D543">
        <f t="shared" si="17"/>
        <v>3.3495634839124655E-3</v>
      </c>
      <c r="E543" s="179">
        <v>41.06</v>
      </c>
      <c r="F543">
        <f t="shared" si="18"/>
        <v>6.3725490196080425E-3</v>
      </c>
      <c r="H543" s="179"/>
      <c r="R543" s="199">
        <v>42416</v>
      </c>
      <c r="S543" s="180">
        <v>4.2919999999999998</v>
      </c>
    </row>
    <row r="544" spans="2:19">
      <c r="B544" s="198">
        <v>44419</v>
      </c>
      <c r="C544" s="178">
        <v>86776.3</v>
      </c>
      <c r="D544">
        <f t="shared" si="17"/>
        <v>3.0899678750151427E-3</v>
      </c>
      <c r="E544" s="179">
        <v>41.03</v>
      </c>
      <c r="F544">
        <f t="shared" si="18"/>
        <v>-7.3063809059914497E-4</v>
      </c>
      <c r="H544" s="179"/>
      <c r="R544" s="199">
        <v>42417</v>
      </c>
      <c r="S544" s="180">
        <v>4.2919999999999998</v>
      </c>
    </row>
    <row r="545" spans="2:19">
      <c r="B545" s="198">
        <v>44420</v>
      </c>
      <c r="C545" s="178">
        <v>86907.99</v>
      </c>
      <c r="D545">
        <f t="shared" si="17"/>
        <v>1.5175802609699307E-3</v>
      </c>
      <c r="E545" s="179">
        <v>40.94</v>
      </c>
      <c r="F545">
        <f t="shared" si="18"/>
        <v>-2.1935169388253017E-3</v>
      </c>
      <c r="H545" s="179"/>
      <c r="R545" s="199">
        <v>42418</v>
      </c>
      <c r="S545" s="180">
        <v>4.2919999999999998</v>
      </c>
    </row>
    <row r="546" spans="2:19">
      <c r="B546" s="198">
        <v>44421</v>
      </c>
      <c r="C546" s="178">
        <v>87349.57</v>
      </c>
      <c r="D546">
        <f t="shared" si="17"/>
        <v>5.081005785543935E-3</v>
      </c>
      <c r="E546" s="179">
        <v>41.45</v>
      </c>
      <c r="F546">
        <f t="shared" si="18"/>
        <v>1.2457254518808192E-2</v>
      </c>
      <c r="H546" s="179"/>
      <c r="R546" s="199">
        <v>42419</v>
      </c>
      <c r="S546" s="180">
        <v>4.2919999999999998</v>
      </c>
    </row>
    <row r="547" spans="2:19">
      <c r="B547" s="198">
        <v>44424</v>
      </c>
      <c r="C547" s="178">
        <v>86817.97</v>
      </c>
      <c r="D547">
        <f t="shared" si="17"/>
        <v>-6.0858914359853689E-3</v>
      </c>
      <c r="E547" s="179">
        <v>41.65</v>
      </c>
      <c r="F547">
        <f t="shared" si="18"/>
        <v>4.8250904704463249E-3</v>
      </c>
      <c r="H547" s="179"/>
      <c r="R547" s="199">
        <v>42422</v>
      </c>
      <c r="S547" s="180">
        <v>4.2919999999999998</v>
      </c>
    </row>
    <row r="548" spans="2:19">
      <c r="B548" s="198">
        <v>44425</v>
      </c>
      <c r="C548" s="178">
        <v>86127.1</v>
      </c>
      <c r="D548">
        <f t="shared" si="17"/>
        <v>-7.9576843365491978E-3</v>
      </c>
      <c r="E548" s="179">
        <v>41.82</v>
      </c>
      <c r="F548">
        <f t="shared" si="18"/>
        <v>4.0816326530612734E-3</v>
      </c>
      <c r="H548" s="179"/>
      <c r="R548" s="199">
        <v>42423</v>
      </c>
      <c r="S548" s="180">
        <v>4.2919999999999998</v>
      </c>
    </row>
    <row r="549" spans="2:19">
      <c r="B549" s="198">
        <v>44426</v>
      </c>
      <c r="C549" s="178">
        <v>86098.69</v>
      </c>
      <c r="D549">
        <f t="shared" si="17"/>
        <v>-3.2986133284418351E-4</v>
      </c>
      <c r="E549" s="179">
        <v>42.13</v>
      </c>
      <c r="F549">
        <f t="shared" si="18"/>
        <v>7.4127211860355313E-3</v>
      </c>
      <c r="H549" s="179"/>
      <c r="R549" s="199">
        <v>42424</v>
      </c>
      <c r="S549" s="180">
        <v>4.2919999999999998</v>
      </c>
    </row>
    <row r="550" spans="2:19">
      <c r="B550" s="198">
        <v>44427</v>
      </c>
      <c r="C550" s="178">
        <v>85728.67</v>
      </c>
      <c r="D550">
        <f t="shared" si="17"/>
        <v>-4.2976263634209033E-3</v>
      </c>
      <c r="E550" s="179">
        <v>42.4</v>
      </c>
      <c r="F550">
        <f t="shared" si="18"/>
        <v>6.4087348682648759E-3</v>
      </c>
      <c r="H550" s="179"/>
      <c r="R550" s="199">
        <v>42425</v>
      </c>
      <c r="S550" s="180">
        <v>4.2919999999999998</v>
      </c>
    </row>
    <row r="551" spans="2:19">
      <c r="B551" s="198">
        <v>44428</v>
      </c>
      <c r="C551" s="178">
        <v>85624.73</v>
      </c>
      <c r="D551">
        <f t="shared" si="17"/>
        <v>-1.2124298673944489E-3</v>
      </c>
      <c r="E551" s="179">
        <v>42.83</v>
      </c>
      <c r="F551">
        <f t="shared" si="18"/>
        <v>1.0141509433962304E-2</v>
      </c>
      <c r="H551" s="179"/>
      <c r="R551" s="199">
        <v>42426</v>
      </c>
      <c r="S551" s="180">
        <v>4.2919999999999998</v>
      </c>
    </row>
    <row r="552" spans="2:19">
      <c r="B552" s="198">
        <v>44431</v>
      </c>
      <c r="C552" s="178">
        <v>86047.41</v>
      </c>
      <c r="D552">
        <f t="shared" si="17"/>
        <v>4.9364243250753503E-3</v>
      </c>
      <c r="E552" s="179">
        <v>41.65</v>
      </c>
      <c r="F552">
        <f t="shared" si="18"/>
        <v>-2.7550782162035992E-2</v>
      </c>
      <c r="H552" s="179"/>
      <c r="R552" s="199">
        <v>42429</v>
      </c>
      <c r="S552" s="180">
        <v>4.2919999999999998</v>
      </c>
    </row>
    <row r="553" spans="2:19">
      <c r="B553" s="198">
        <v>44432</v>
      </c>
      <c r="C553" s="178">
        <v>86190.14</v>
      </c>
      <c r="D553">
        <f t="shared" si="17"/>
        <v>1.6587367359459648E-3</v>
      </c>
      <c r="E553" s="179">
        <v>42.21</v>
      </c>
      <c r="F553">
        <f t="shared" si="18"/>
        <v>1.3445378151260456E-2</v>
      </c>
      <c r="H553" s="179"/>
      <c r="R553" s="199">
        <v>42430</v>
      </c>
      <c r="S553" s="180">
        <v>4.2919999999999998</v>
      </c>
    </row>
    <row r="554" spans="2:19">
      <c r="B554" s="198">
        <v>44433</v>
      </c>
      <c r="C554" s="178">
        <v>86640.72</v>
      </c>
      <c r="D554">
        <f t="shared" si="17"/>
        <v>5.2277441479964271E-3</v>
      </c>
      <c r="E554" s="179">
        <v>42.35</v>
      </c>
      <c r="F554">
        <f t="shared" si="18"/>
        <v>3.3167495854062867E-3</v>
      </c>
      <c r="H554" s="179"/>
      <c r="R554" s="199">
        <v>42431</v>
      </c>
      <c r="S554" s="180">
        <v>4.2919999999999998</v>
      </c>
    </row>
    <row r="555" spans="2:19">
      <c r="B555" s="198">
        <v>44434</v>
      </c>
      <c r="C555" s="178">
        <v>86246.39</v>
      </c>
      <c r="D555">
        <f t="shared" si="17"/>
        <v>-4.5513241348871247E-3</v>
      </c>
      <c r="E555" s="179">
        <v>42.49</v>
      </c>
      <c r="F555">
        <f t="shared" si="18"/>
        <v>3.3057851239670644E-3</v>
      </c>
      <c r="H555" s="179"/>
      <c r="R555" s="199">
        <v>42432</v>
      </c>
      <c r="S555" s="180">
        <v>4.2919999999999998</v>
      </c>
    </row>
    <row r="556" spans="2:19">
      <c r="B556" s="198">
        <v>44435</v>
      </c>
      <c r="C556" s="178">
        <v>86137.51</v>
      </c>
      <c r="D556">
        <f t="shared" si="17"/>
        <v>-1.262429650678798E-3</v>
      </c>
      <c r="E556" s="179">
        <v>42.72</v>
      </c>
      <c r="F556">
        <f t="shared" si="18"/>
        <v>5.4130383619674927E-3</v>
      </c>
      <c r="H556" s="179"/>
      <c r="R556" s="199">
        <v>42433</v>
      </c>
      <c r="S556" s="180">
        <v>4.2919999999999998</v>
      </c>
    </row>
    <row r="557" spans="2:19">
      <c r="B557" s="198">
        <v>44438</v>
      </c>
      <c r="C557" s="178">
        <v>86485.49</v>
      </c>
      <c r="D557">
        <f t="shared" si="17"/>
        <v>4.0398195861479635E-3</v>
      </c>
      <c r="E557" s="179">
        <v>42.61</v>
      </c>
      <c r="F557">
        <f t="shared" si="18"/>
        <v>-2.5749063670411632E-3</v>
      </c>
      <c r="H557" s="179"/>
      <c r="R557" s="199">
        <v>42436</v>
      </c>
      <c r="S557" s="180">
        <v>4.2919999999999998</v>
      </c>
    </row>
    <row r="558" spans="2:19">
      <c r="B558" s="198">
        <v>44439</v>
      </c>
      <c r="C558" s="178">
        <v>86876.92</v>
      </c>
      <c r="D558">
        <f t="shared" si="17"/>
        <v>4.5259615225627936E-3</v>
      </c>
      <c r="E558" s="179">
        <v>43.4</v>
      </c>
      <c r="F558">
        <f t="shared" si="18"/>
        <v>1.8540248767894951E-2</v>
      </c>
      <c r="H558" s="179"/>
      <c r="R558" s="199">
        <v>42437</v>
      </c>
      <c r="S558" s="180">
        <v>4.2919999999999998</v>
      </c>
    </row>
    <row r="559" spans="2:19">
      <c r="B559" s="198">
        <v>44440</v>
      </c>
      <c r="C559" s="178">
        <v>86812.03</v>
      </c>
      <c r="D559">
        <f t="shared" si="17"/>
        <v>-7.4691874435695027E-4</v>
      </c>
      <c r="E559" s="179">
        <v>43.3</v>
      </c>
      <c r="F559">
        <f t="shared" si="18"/>
        <v>-2.3041474654378336E-3</v>
      </c>
      <c r="H559" s="179"/>
      <c r="R559" s="199">
        <v>42438</v>
      </c>
      <c r="S559" s="180">
        <v>4.2919999999999998</v>
      </c>
    </row>
    <row r="560" spans="2:19">
      <c r="B560" s="198">
        <v>44441</v>
      </c>
      <c r="C560" s="178">
        <v>86830.65</v>
      </c>
      <c r="D560">
        <f t="shared" si="17"/>
        <v>2.1448640240295802E-4</v>
      </c>
      <c r="E560" s="179">
        <v>43.24</v>
      </c>
      <c r="F560">
        <f t="shared" si="18"/>
        <v>-1.3856812933024099E-3</v>
      </c>
      <c r="H560" s="179"/>
      <c r="R560" s="199">
        <v>42439</v>
      </c>
      <c r="S560" s="180">
        <v>4.2919999999999998</v>
      </c>
    </row>
    <row r="561" spans="2:19">
      <c r="B561" s="198">
        <v>44442</v>
      </c>
      <c r="C561" s="178">
        <v>87320.12</v>
      </c>
      <c r="D561">
        <f t="shared" si="17"/>
        <v>5.6370647922132644E-3</v>
      </c>
      <c r="E561" s="179">
        <v>43.75</v>
      </c>
      <c r="F561">
        <f t="shared" si="18"/>
        <v>1.1794634597594778E-2</v>
      </c>
      <c r="H561" s="179"/>
      <c r="R561" s="199">
        <v>42440</v>
      </c>
      <c r="S561" s="180">
        <v>4.2919999999999998</v>
      </c>
    </row>
    <row r="562" spans="2:19">
      <c r="B562" s="198">
        <v>44445</v>
      </c>
      <c r="C562" s="178">
        <v>87544.49</v>
      </c>
      <c r="D562">
        <f t="shared" si="17"/>
        <v>2.5695108985193116E-3</v>
      </c>
      <c r="E562" s="179">
        <v>43.55</v>
      </c>
      <c r="F562">
        <f t="shared" si="18"/>
        <v>-4.5714285714286707E-3</v>
      </c>
      <c r="H562" s="179"/>
      <c r="R562" s="199">
        <v>42443</v>
      </c>
      <c r="S562" s="180">
        <v>4.2919999999999998</v>
      </c>
    </row>
    <row r="563" spans="2:19">
      <c r="B563" s="198">
        <v>44446</v>
      </c>
      <c r="C563" s="178">
        <v>87603.58</v>
      </c>
      <c r="D563">
        <f t="shared" si="17"/>
        <v>6.7497109184144755E-4</v>
      </c>
      <c r="E563" s="179">
        <v>42.32</v>
      </c>
      <c r="F563">
        <f t="shared" si="18"/>
        <v>-2.8243398392652108E-2</v>
      </c>
      <c r="H563" s="179"/>
      <c r="R563" s="199">
        <v>42444</v>
      </c>
      <c r="S563" s="180">
        <v>4.2919999999999998</v>
      </c>
    </row>
    <row r="564" spans="2:19">
      <c r="B564" s="198">
        <v>44447</v>
      </c>
      <c r="C564" s="178">
        <v>87414.7</v>
      </c>
      <c r="D564">
        <f t="shared" si="17"/>
        <v>-2.1560762699424085E-3</v>
      </c>
      <c r="E564" s="179">
        <v>41.75</v>
      </c>
      <c r="F564">
        <f t="shared" si="18"/>
        <v>-1.3468809073724053E-2</v>
      </c>
      <c r="H564" s="179"/>
      <c r="R564" s="199">
        <v>42445</v>
      </c>
      <c r="S564" s="180">
        <v>4.2919999999999998</v>
      </c>
    </row>
    <row r="565" spans="2:19">
      <c r="B565" s="198">
        <v>44448</v>
      </c>
      <c r="C565" s="178">
        <v>85767.039999999994</v>
      </c>
      <c r="D565">
        <f t="shared" si="17"/>
        <v>-1.8848774862809115E-2</v>
      </c>
      <c r="E565" s="179">
        <v>41.63</v>
      </c>
      <c r="F565">
        <f t="shared" si="18"/>
        <v>-2.8742514970059307E-3</v>
      </c>
      <c r="H565" s="179"/>
      <c r="R565" s="199">
        <v>42446</v>
      </c>
      <c r="S565" s="180">
        <v>4.2919999999999998</v>
      </c>
    </row>
    <row r="566" spans="2:19">
      <c r="B566" s="198">
        <v>44449</v>
      </c>
      <c r="C566" s="178">
        <v>86300.97</v>
      </c>
      <c r="D566">
        <f t="shared" si="17"/>
        <v>6.2253518367896277E-3</v>
      </c>
      <c r="E566" s="179">
        <v>41.63</v>
      </c>
      <c r="F566">
        <f t="shared" si="18"/>
        <v>0</v>
      </c>
      <c r="H566" s="179"/>
      <c r="R566" s="199">
        <v>42447</v>
      </c>
      <c r="S566" s="180">
        <v>4.2919999999999998</v>
      </c>
    </row>
    <row r="567" spans="2:19">
      <c r="B567" s="198">
        <v>44452</v>
      </c>
      <c r="C567" s="178">
        <v>86530.06</v>
      </c>
      <c r="D567">
        <f t="shared" si="17"/>
        <v>2.6545472200369957E-3</v>
      </c>
      <c r="E567" s="179">
        <v>42.11</v>
      </c>
      <c r="F567">
        <f t="shared" si="18"/>
        <v>1.1530146528945462E-2</v>
      </c>
      <c r="H567" s="179"/>
      <c r="R567" s="199">
        <v>42450</v>
      </c>
      <c r="S567" s="180">
        <v>4.2919999999999998</v>
      </c>
    </row>
    <row r="568" spans="2:19">
      <c r="B568" s="198">
        <v>44453</v>
      </c>
      <c r="C568" s="178">
        <v>86697.86</v>
      </c>
      <c r="D568">
        <f t="shared" si="17"/>
        <v>1.9392104893953821E-3</v>
      </c>
      <c r="E568" s="179">
        <v>41.8</v>
      </c>
      <c r="F568">
        <f t="shared" si="18"/>
        <v>-7.3616718119212665E-3</v>
      </c>
      <c r="H568" s="179"/>
      <c r="R568" s="199">
        <v>42451</v>
      </c>
      <c r="S568" s="180">
        <v>4.2919999999999998</v>
      </c>
    </row>
    <row r="569" spans="2:19">
      <c r="B569" s="198">
        <v>44454</v>
      </c>
      <c r="C569" s="178">
        <v>86513.86</v>
      </c>
      <c r="D569">
        <f t="shared" si="17"/>
        <v>-2.1223130536324186E-3</v>
      </c>
      <c r="E569" s="179">
        <v>42.16</v>
      </c>
      <c r="F569">
        <f t="shared" si="18"/>
        <v>8.612440191387627E-3</v>
      </c>
      <c r="H569" s="179"/>
      <c r="R569" s="199">
        <v>42452</v>
      </c>
      <c r="S569" s="180">
        <v>4.2919999999999998</v>
      </c>
    </row>
    <row r="570" spans="2:19">
      <c r="B570" s="198">
        <v>44455</v>
      </c>
      <c r="C570" s="178">
        <v>86929.42</v>
      </c>
      <c r="D570">
        <f t="shared" si="17"/>
        <v>4.8033921963486215E-3</v>
      </c>
      <c r="E570" s="179">
        <v>42.45</v>
      </c>
      <c r="F570">
        <f t="shared" si="18"/>
        <v>6.8785578747629916E-3</v>
      </c>
      <c r="H570" s="179"/>
      <c r="R570" s="199">
        <v>42453</v>
      </c>
      <c r="S570" s="180">
        <v>4.2919999999999998</v>
      </c>
    </row>
    <row r="571" spans="2:19">
      <c r="B571" s="198">
        <v>44456</v>
      </c>
      <c r="C571" s="178">
        <v>86294.77</v>
      </c>
      <c r="D571">
        <f t="shared" si="17"/>
        <v>-7.300750424884872E-3</v>
      </c>
      <c r="E571" s="179">
        <v>42.12</v>
      </c>
      <c r="F571">
        <f t="shared" si="18"/>
        <v>-7.7738515901061289E-3</v>
      </c>
      <c r="H571" s="179"/>
      <c r="R571" s="199">
        <v>42458</v>
      </c>
      <c r="S571" s="180">
        <v>4.2919999999999998</v>
      </c>
    </row>
    <row r="572" spans="2:19">
      <c r="B572" s="198">
        <v>44459</v>
      </c>
      <c r="C572" s="178">
        <v>84445.79</v>
      </c>
      <c r="D572">
        <f t="shared" si="17"/>
        <v>-2.1426327458778927E-2</v>
      </c>
      <c r="E572" s="179">
        <v>41.68</v>
      </c>
      <c r="F572">
        <f t="shared" si="18"/>
        <v>-1.0446343779677014E-2</v>
      </c>
      <c r="H572" s="179"/>
      <c r="R572" s="199">
        <v>42459</v>
      </c>
      <c r="S572" s="180">
        <v>4.2919999999999998</v>
      </c>
    </row>
    <row r="573" spans="2:19">
      <c r="B573" s="198">
        <v>44460</v>
      </c>
      <c r="C573" s="178">
        <v>84730.72</v>
      </c>
      <c r="D573">
        <f t="shared" si="17"/>
        <v>3.374117288736489E-3</v>
      </c>
      <c r="E573" s="179">
        <v>41.55</v>
      </c>
      <c r="F573">
        <f t="shared" si="18"/>
        <v>-3.1190019193858554E-3</v>
      </c>
      <c r="H573" s="179"/>
      <c r="R573" s="199">
        <v>42460</v>
      </c>
      <c r="S573" s="180">
        <v>4.2919999999999998</v>
      </c>
    </row>
    <row r="574" spans="2:19">
      <c r="B574" s="198">
        <v>44461</v>
      </c>
      <c r="C574" s="178">
        <v>85075.58</v>
      </c>
      <c r="D574">
        <f t="shared" si="17"/>
        <v>4.0700704537859345E-3</v>
      </c>
      <c r="E574" s="179">
        <v>41.72</v>
      </c>
      <c r="F574">
        <f t="shared" si="18"/>
        <v>4.091456077015776E-3</v>
      </c>
      <c r="H574" s="179"/>
      <c r="R574" s="199">
        <v>42461</v>
      </c>
      <c r="S574" s="180">
        <v>4.2919999999999998</v>
      </c>
    </row>
    <row r="575" spans="2:19">
      <c r="B575" s="198">
        <v>44462</v>
      </c>
      <c r="C575" s="178">
        <v>86062.82</v>
      </c>
      <c r="D575">
        <f t="shared" si="17"/>
        <v>1.1604269991459359E-2</v>
      </c>
      <c r="E575" s="179">
        <v>41.49</v>
      </c>
      <c r="F575">
        <f t="shared" si="18"/>
        <v>-5.5129434324064919E-3</v>
      </c>
      <c r="H575" s="179"/>
      <c r="R575" s="199">
        <v>42464</v>
      </c>
      <c r="S575" s="180">
        <v>4.2919999999999998</v>
      </c>
    </row>
    <row r="576" spans="2:19">
      <c r="B576" s="198">
        <v>44463</v>
      </c>
      <c r="C576" s="178">
        <v>85709.48</v>
      </c>
      <c r="D576">
        <f t="shared" si="17"/>
        <v>-4.1056056494548354E-3</v>
      </c>
      <c r="E576" s="179">
        <v>40.590000000000003</v>
      </c>
      <c r="F576">
        <f t="shared" si="18"/>
        <v>-2.1691973969631184E-2</v>
      </c>
      <c r="H576" s="179"/>
      <c r="R576" s="199">
        <v>42465</v>
      </c>
      <c r="S576" s="180">
        <v>4.2919999999999998</v>
      </c>
    </row>
    <row r="577" spans="2:19">
      <c r="B577" s="198">
        <v>44466</v>
      </c>
      <c r="C577" s="178">
        <v>86174.03</v>
      </c>
      <c r="D577">
        <f t="shared" si="17"/>
        <v>5.4200538843545143E-3</v>
      </c>
      <c r="E577" s="179">
        <v>41.17</v>
      </c>
      <c r="F577">
        <f t="shared" si="18"/>
        <v>1.428923380142888E-2</v>
      </c>
      <c r="H577" s="179"/>
      <c r="R577" s="199">
        <v>42466</v>
      </c>
      <c r="S577" s="180">
        <v>4.2919999999999998</v>
      </c>
    </row>
    <row r="578" spans="2:19">
      <c r="B578" s="198">
        <v>44467</v>
      </c>
      <c r="C578" s="178">
        <v>84945.02</v>
      </c>
      <c r="D578">
        <f t="shared" si="17"/>
        <v>-1.4261953398256977E-2</v>
      </c>
      <c r="E578" s="179">
        <v>39.46</v>
      </c>
      <c r="F578">
        <f t="shared" si="18"/>
        <v>-4.1535098372601387E-2</v>
      </c>
      <c r="H578" s="179"/>
      <c r="R578" s="199">
        <v>42467</v>
      </c>
      <c r="S578" s="180">
        <v>4.2919999999999998</v>
      </c>
    </row>
    <row r="579" spans="2:19">
      <c r="B579" s="198">
        <v>44468</v>
      </c>
      <c r="C579" s="178">
        <v>84050.75</v>
      </c>
      <c r="D579">
        <f t="shared" si="17"/>
        <v>-1.0527633050177676E-2</v>
      </c>
      <c r="E579" s="179">
        <v>39.340000000000003</v>
      </c>
      <c r="F579">
        <f t="shared" si="18"/>
        <v>-3.0410542321337442E-3</v>
      </c>
      <c r="H579" s="179"/>
      <c r="R579" s="199">
        <v>42468</v>
      </c>
      <c r="S579" s="180">
        <v>4.2919999999999998</v>
      </c>
    </row>
    <row r="580" spans="2:19">
      <c r="B580" s="198">
        <v>44469</v>
      </c>
      <c r="C580" s="178">
        <v>85501.91</v>
      </c>
      <c r="D580">
        <f t="shared" si="17"/>
        <v>1.7265283177128055E-2</v>
      </c>
      <c r="E580" s="179">
        <v>40.659999999999997</v>
      </c>
      <c r="F580">
        <f t="shared" si="18"/>
        <v>3.3553634977122382E-2</v>
      </c>
      <c r="H580" s="179"/>
      <c r="R580" s="199">
        <v>42471</v>
      </c>
      <c r="S580" s="180">
        <v>4.2919999999999998</v>
      </c>
    </row>
    <row r="581" spans="2:19">
      <c r="B581" s="198">
        <v>44470</v>
      </c>
      <c r="C581" s="178">
        <v>83899.11</v>
      </c>
      <c r="D581">
        <f t="shared" si="17"/>
        <v>-1.8745780065030138E-2</v>
      </c>
      <c r="E581" s="179">
        <v>39.83</v>
      </c>
      <c r="F581">
        <f t="shared" si="18"/>
        <v>-2.0413182488932535E-2</v>
      </c>
      <c r="H581" s="179"/>
      <c r="R581" s="199">
        <v>42472</v>
      </c>
      <c r="S581" s="180">
        <v>4.2919999999999998</v>
      </c>
    </row>
    <row r="582" spans="2:19">
      <c r="B582" s="198">
        <v>44473</v>
      </c>
      <c r="C582" s="178">
        <v>84909.14</v>
      </c>
      <c r="D582">
        <f t="shared" si="17"/>
        <v>1.2038625916293899E-2</v>
      </c>
      <c r="E582" s="179">
        <v>39.659999999999997</v>
      </c>
      <c r="F582">
        <f t="shared" si="18"/>
        <v>-4.2681395932714361E-3</v>
      </c>
      <c r="H582" s="179"/>
      <c r="R582" s="199">
        <v>42473</v>
      </c>
      <c r="S582" s="180">
        <v>4.2919999999999998</v>
      </c>
    </row>
    <row r="583" spans="2:19">
      <c r="B583" s="198">
        <v>44474</v>
      </c>
      <c r="C583" s="178">
        <v>84460.59</v>
      </c>
      <c r="D583">
        <f t="shared" si="17"/>
        <v>-5.2827057252022858E-3</v>
      </c>
      <c r="E583" s="179">
        <v>39.630000000000003</v>
      </c>
      <c r="F583">
        <f t="shared" si="18"/>
        <v>-7.5642965204225643E-4</v>
      </c>
      <c r="H583" s="179"/>
      <c r="R583" s="199">
        <v>42474</v>
      </c>
      <c r="S583" s="180">
        <v>4.2919999999999998</v>
      </c>
    </row>
    <row r="584" spans="2:19">
      <c r="B584" s="198">
        <v>44475</v>
      </c>
      <c r="C584" s="178">
        <v>84009.19</v>
      </c>
      <c r="D584">
        <f t="shared" ref="D584:D647" si="19">(C584/C583)-1</f>
        <v>-5.3445044606009739E-3</v>
      </c>
      <c r="E584" s="179">
        <v>39.44</v>
      </c>
      <c r="F584">
        <f t="shared" ref="F584:F647" si="20">(E584/E583)-1</f>
        <v>-4.7943477163766568E-3</v>
      </c>
      <c r="H584" s="179"/>
      <c r="R584" s="199">
        <v>42475</v>
      </c>
      <c r="S584" s="180">
        <v>4.2919999999999998</v>
      </c>
    </row>
    <row r="585" spans="2:19">
      <c r="B585" s="198">
        <v>44476</v>
      </c>
      <c r="C585" s="178">
        <v>84626.81</v>
      </c>
      <c r="D585">
        <f t="shared" si="19"/>
        <v>7.3518147240796416E-3</v>
      </c>
      <c r="E585" s="179">
        <v>40.020000000000003</v>
      </c>
      <c r="F585">
        <f t="shared" si="20"/>
        <v>1.4705882352941346E-2</v>
      </c>
      <c r="H585" s="179"/>
      <c r="R585" s="199">
        <v>42478</v>
      </c>
      <c r="S585" s="180">
        <v>4.2919999999999998</v>
      </c>
    </row>
    <row r="586" spans="2:19">
      <c r="B586" s="198">
        <v>44477</v>
      </c>
      <c r="C586" s="178">
        <v>85368.37</v>
      </c>
      <c r="D586">
        <f t="shared" si="19"/>
        <v>8.7627077045677737E-3</v>
      </c>
      <c r="E586" s="179">
        <v>39.96</v>
      </c>
      <c r="F586">
        <f t="shared" si="20"/>
        <v>-1.4992503748126884E-3</v>
      </c>
      <c r="H586" s="179"/>
      <c r="R586" s="199">
        <v>42479</v>
      </c>
      <c r="S586" s="180">
        <v>4.2919999999999998</v>
      </c>
    </row>
    <row r="587" spans="2:19">
      <c r="B587" s="198">
        <v>44480</v>
      </c>
      <c r="C587" s="178">
        <v>85186.48</v>
      </c>
      <c r="D587">
        <f t="shared" si="19"/>
        <v>-2.1306486231376098E-3</v>
      </c>
      <c r="E587" s="179">
        <v>39.28</v>
      </c>
      <c r="F587">
        <f t="shared" si="20"/>
        <v>-1.7017017017016967E-2</v>
      </c>
      <c r="H587" s="179"/>
      <c r="R587" s="199">
        <v>42480</v>
      </c>
      <c r="S587" s="180">
        <v>4.2919999999999998</v>
      </c>
    </row>
    <row r="588" spans="2:19">
      <c r="B588" s="198">
        <v>44481</v>
      </c>
      <c r="C588" s="178">
        <v>84903.31</v>
      </c>
      <c r="D588">
        <f t="shared" si="19"/>
        <v>-3.3241190386079644E-3</v>
      </c>
      <c r="E588" s="179">
        <v>39.19</v>
      </c>
      <c r="F588">
        <f t="shared" si="20"/>
        <v>-2.2912423625255363E-3</v>
      </c>
      <c r="H588" s="179"/>
      <c r="R588" s="199">
        <v>42481</v>
      </c>
      <c r="S588" s="180">
        <v>4.2919999999999998</v>
      </c>
    </row>
    <row r="589" spans="2:19">
      <c r="B589" s="198">
        <v>44482</v>
      </c>
      <c r="C589" s="178">
        <v>84861.51</v>
      </c>
      <c r="D589">
        <f t="shared" si="19"/>
        <v>-4.9232473975402424E-4</v>
      </c>
      <c r="E589" s="179">
        <v>39.35</v>
      </c>
      <c r="F589">
        <f t="shared" si="20"/>
        <v>4.0826741515693765E-3</v>
      </c>
      <c r="H589" s="179"/>
      <c r="R589" s="199">
        <v>42482</v>
      </c>
      <c r="S589" s="180">
        <v>4.2919999999999998</v>
      </c>
    </row>
    <row r="590" spans="2:19">
      <c r="B590" s="198">
        <v>44483</v>
      </c>
      <c r="C590" s="178">
        <v>85403.02</v>
      </c>
      <c r="D590">
        <f t="shared" si="19"/>
        <v>6.3811025752429362E-3</v>
      </c>
      <c r="E590" s="179">
        <v>39.479999999999997</v>
      </c>
      <c r="F590">
        <f t="shared" si="20"/>
        <v>3.3036848792882267E-3</v>
      </c>
      <c r="H590" s="179"/>
      <c r="R590" s="199">
        <v>42486</v>
      </c>
      <c r="S590" s="180">
        <v>4.2919999999999998</v>
      </c>
    </row>
    <row r="591" spans="2:19">
      <c r="B591" s="198">
        <v>44484</v>
      </c>
      <c r="C591" s="178">
        <v>86014.71</v>
      </c>
      <c r="D591">
        <f t="shared" si="19"/>
        <v>7.1623930863335961E-3</v>
      </c>
      <c r="E591" s="179">
        <v>39.11</v>
      </c>
      <c r="F591">
        <f t="shared" si="20"/>
        <v>-9.3718338399189083E-3</v>
      </c>
      <c r="H591" s="179"/>
      <c r="R591" s="199">
        <v>42487</v>
      </c>
      <c r="S591" s="180">
        <v>4.2919999999999998</v>
      </c>
    </row>
    <row r="592" spans="2:19">
      <c r="B592" s="198">
        <v>44487</v>
      </c>
      <c r="C592" s="178">
        <v>86188.46</v>
      </c>
      <c r="D592">
        <f t="shared" si="19"/>
        <v>2.0200033226873693E-3</v>
      </c>
      <c r="E592" s="179">
        <v>38.89</v>
      </c>
      <c r="F592">
        <f t="shared" si="20"/>
        <v>-5.6251598056762386E-3</v>
      </c>
      <c r="H592" s="179"/>
      <c r="R592" s="199">
        <v>42488</v>
      </c>
      <c r="S592" s="180">
        <v>4.2919999999999998</v>
      </c>
    </row>
    <row r="593" spans="2:19">
      <c r="B593" s="198">
        <v>44488</v>
      </c>
      <c r="C593" s="178">
        <v>86194.19</v>
      </c>
      <c r="D593">
        <f t="shared" si="19"/>
        <v>6.6482218153085526E-5</v>
      </c>
      <c r="E593" s="179">
        <v>39.08</v>
      </c>
      <c r="F593">
        <f t="shared" si="20"/>
        <v>4.8855746978657688E-3</v>
      </c>
      <c r="H593" s="179"/>
      <c r="R593" s="199">
        <v>42489</v>
      </c>
      <c r="S593" s="180">
        <v>4.2919999999999998</v>
      </c>
    </row>
    <row r="594" spans="2:19">
      <c r="B594" s="198">
        <v>44489</v>
      </c>
      <c r="C594" s="178">
        <v>86609.600000000006</v>
      </c>
      <c r="D594">
        <f t="shared" si="19"/>
        <v>4.8194663700651397E-3</v>
      </c>
      <c r="E594" s="179">
        <v>38.979999999999997</v>
      </c>
      <c r="F594">
        <f t="shared" si="20"/>
        <v>-2.5588536335722223E-3</v>
      </c>
      <c r="H594" s="179"/>
      <c r="R594" s="199">
        <v>42492</v>
      </c>
      <c r="S594" s="180">
        <v>4.2919999999999998</v>
      </c>
    </row>
    <row r="595" spans="2:19">
      <c r="B595" s="198">
        <v>44490</v>
      </c>
      <c r="C595" s="178">
        <v>86623.85</v>
      </c>
      <c r="D595">
        <f t="shared" si="19"/>
        <v>1.6453141453132147E-4</v>
      </c>
      <c r="E595" s="179">
        <v>39.92</v>
      </c>
      <c r="F595">
        <f t="shared" si="20"/>
        <v>2.4114930733709627E-2</v>
      </c>
      <c r="H595" s="179"/>
      <c r="R595" s="199">
        <v>42493</v>
      </c>
      <c r="S595" s="180">
        <v>4.2919999999999998</v>
      </c>
    </row>
    <row r="596" spans="2:19">
      <c r="B596" s="198">
        <v>44491</v>
      </c>
      <c r="C596" s="178">
        <v>86604.82</v>
      </c>
      <c r="D596">
        <f t="shared" si="19"/>
        <v>-2.1968545614170498E-4</v>
      </c>
      <c r="E596" s="179">
        <v>39.630000000000003</v>
      </c>
      <c r="F596">
        <f t="shared" si="20"/>
        <v>-7.2645290581162536E-3</v>
      </c>
      <c r="H596" s="179"/>
      <c r="R596" s="199">
        <v>42494</v>
      </c>
      <c r="S596" s="180">
        <v>4.2919999999999998</v>
      </c>
    </row>
    <row r="597" spans="2:19">
      <c r="B597" s="198">
        <v>44494</v>
      </c>
      <c r="C597" s="178">
        <v>86915.59</v>
      </c>
      <c r="D597">
        <f t="shared" si="19"/>
        <v>3.5883684072086641E-3</v>
      </c>
      <c r="E597" s="179">
        <v>39.700000000000003</v>
      </c>
      <c r="F597">
        <f t="shared" si="20"/>
        <v>1.766338632349207E-3</v>
      </c>
      <c r="H597" s="179"/>
      <c r="R597" s="199">
        <v>42495</v>
      </c>
      <c r="S597" s="180">
        <v>4.2919999999999998</v>
      </c>
    </row>
    <row r="598" spans="2:19">
      <c r="B598" s="198">
        <v>44495</v>
      </c>
      <c r="C598" s="178">
        <v>86972.23</v>
      </c>
      <c r="D598">
        <f t="shared" si="19"/>
        <v>6.5166674931393942E-4</v>
      </c>
      <c r="E598" s="179">
        <v>39.25</v>
      </c>
      <c r="F598">
        <f t="shared" si="20"/>
        <v>-1.133501259445846E-2</v>
      </c>
      <c r="H598" s="179"/>
      <c r="R598" s="199">
        <v>42496</v>
      </c>
      <c r="S598" s="180">
        <v>4.2919999999999998</v>
      </c>
    </row>
    <row r="599" spans="2:19">
      <c r="B599" s="198">
        <v>44496</v>
      </c>
      <c r="C599" s="178">
        <v>86957.03</v>
      </c>
      <c r="D599">
        <f t="shared" si="19"/>
        <v>-1.747684289571394E-4</v>
      </c>
      <c r="E599" s="179">
        <v>40.71</v>
      </c>
      <c r="F599">
        <f t="shared" si="20"/>
        <v>3.7197452229299488E-2</v>
      </c>
      <c r="H599" s="179"/>
      <c r="R599" s="199">
        <v>42499</v>
      </c>
      <c r="S599" s="180">
        <v>4.2919999999999998</v>
      </c>
    </row>
    <row r="600" spans="2:19">
      <c r="B600" s="198">
        <v>44497</v>
      </c>
      <c r="C600" s="178">
        <v>86757.03</v>
      </c>
      <c r="D600">
        <f t="shared" si="19"/>
        <v>-2.2999865565785926E-3</v>
      </c>
      <c r="E600" s="179">
        <v>40.520000000000003</v>
      </c>
      <c r="F600">
        <f t="shared" si="20"/>
        <v>-4.6671579464504509E-3</v>
      </c>
      <c r="H600" s="179"/>
      <c r="R600" s="199">
        <v>42500</v>
      </c>
      <c r="S600" s="180">
        <v>4.2919999999999998</v>
      </c>
    </row>
    <row r="601" spans="2:19">
      <c r="B601" s="198">
        <v>44498</v>
      </c>
      <c r="C601" s="178">
        <v>85629.6</v>
      </c>
      <c r="D601">
        <f t="shared" si="19"/>
        <v>-1.2995258136429877E-2</v>
      </c>
      <c r="E601" s="179">
        <v>40.03</v>
      </c>
      <c r="F601">
        <f t="shared" si="20"/>
        <v>-1.2092793682132341E-2</v>
      </c>
      <c r="H601" s="179"/>
      <c r="R601" s="199">
        <v>42501</v>
      </c>
      <c r="S601" s="180">
        <v>4.2919999999999998</v>
      </c>
    </row>
    <row r="602" spans="2:19">
      <c r="B602" s="198">
        <v>44501</v>
      </c>
      <c r="C602" s="178">
        <v>86224.72</v>
      </c>
      <c r="D602">
        <f t="shared" si="19"/>
        <v>6.9499332006688341E-3</v>
      </c>
      <c r="E602" s="179">
        <v>40.659999999999997</v>
      </c>
      <c r="F602">
        <f t="shared" si="20"/>
        <v>1.5738196352735434E-2</v>
      </c>
      <c r="H602" s="179"/>
      <c r="R602" s="199">
        <v>42502</v>
      </c>
      <c r="S602" s="180">
        <v>4.2919999999999998</v>
      </c>
    </row>
    <row r="603" spans="2:19">
      <c r="B603" s="198">
        <v>44502</v>
      </c>
      <c r="C603" s="178">
        <v>85715.7</v>
      </c>
      <c r="D603">
        <f t="shared" si="19"/>
        <v>-5.9034114578743191E-3</v>
      </c>
      <c r="E603" s="179">
        <v>40.39</v>
      </c>
      <c r="F603">
        <f t="shared" si="20"/>
        <v>-6.6404328578454352E-3</v>
      </c>
      <c r="H603" s="179"/>
      <c r="R603" s="199">
        <v>42503</v>
      </c>
      <c r="S603" s="180">
        <v>4.2919999999999998</v>
      </c>
    </row>
    <row r="604" spans="2:19">
      <c r="B604" s="198">
        <v>44503</v>
      </c>
      <c r="C604" s="178">
        <v>86460.99</v>
      </c>
      <c r="D604">
        <f t="shared" si="19"/>
        <v>8.6949065340422571E-3</v>
      </c>
      <c r="E604" s="179">
        <v>40.54</v>
      </c>
      <c r="F604">
        <f t="shared" si="20"/>
        <v>3.7137905422133244E-3</v>
      </c>
      <c r="H604" s="179"/>
      <c r="R604" s="199">
        <v>42506</v>
      </c>
      <c r="S604" s="180">
        <v>4.2919999999999998</v>
      </c>
    </row>
    <row r="605" spans="2:19">
      <c r="B605" s="198">
        <v>44504</v>
      </c>
      <c r="C605" s="178">
        <v>86834.11</v>
      </c>
      <c r="D605">
        <f t="shared" si="19"/>
        <v>4.3154722146947488E-3</v>
      </c>
      <c r="E605" s="179">
        <v>40.869999999999997</v>
      </c>
      <c r="F605">
        <f t="shared" si="20"/>
        <v>8.1401085347805324E-3</v>
      </c>
      <c r="H605" s="179"/>
      <c r="R605" s="199">
        <v>42507</v>
      </c>
      <c r="S605" s="180">
        <v>4.2919999999999998</v>
      </c>
    </row>
    <row r="606" spans="2:19">
      <c r="B606" s="198">
        <v>44505</v>
      </c>
      <c r="C606" s="178">
        <v>87258.61</v>
      </c>
      <c r="D606">
        <f t="shared" si="19"/>
        <v>4.8886318982253041E-3</v>
      </c>
      <c r="E606" s="179">
        <v>40.909999999999997</v>
      </c>
      <c r="F606">
        <f t="shared" si="20"/>
        <v>9.7871299241503174E-4</v>
      </c>
      <c r="H606" s="179"/>
      <c r="R606" s="199">
        <v>42508</v>
      </c>
      <c r="S606" s="180">
        <v>4.2919999999999998</v>
      </c>
    </row>
    <row r="607" spans="2:19">
      <c r="B607" s="198">
        <v>44508</v>
      </c>
      <c r="C607" s="178">
        <v>87262.83</v>
      </c>
      <c r="D607">
        <f t="shared" si="19"/>
        <v>4.8361989722245369E-5</v>
      </c>
      <c r="E607" s="179">
        <v>40.01</v>
      </c>
      <c r="F607">
        <f t="shared" si="20"/>
        <v>-2.1999511121975068E-2</v>
      </c>
      <c r="H607" s="179"/>
      <c r="R607" s="199">
        <v>42509</v>
      </c>
      <c r="S607" s="180">
        <v>4.2919999999999998</v>
      </c>
    </row>
    <row r="608" spans="2:19">
      <c r="B608" s="198">
        <v>44509</v>
      </c>
      <c r="C608" s="178">
        <v>87134.43</v>
      </c>
      <c r="D608">
        <f t="shared" si="19"/>
        <v>-1.4714168678692241E-3</v>
      </c>
      <c r="E608" s="179">
        <v>39.53</v>
      </c>
      <c r="F608">
        <f t="shared" si="20"/>
        <v>-1.199700074981247E-2</v>
      </c>
      <c r="H608" s="179"/>
      <c r="R608" s="199">
        <v>42510</v>
      </c>
      <c r="S608" s="180">
        <v>4.2919999999999998</v>
      </c>
    </row>
    <row r="609" spans="2:19">
      <c r="B609" s="198">
        <v>44510</v>
      </c>
      <c r="C609" s="178">
        <v>86922.61</v>
      </c>
      <c r="D609">
        <f t="shared" si="19"/>
        <v>-2.4309563969143744E-3</v>
      </c>
      <c r="E609" s="179">
        <v>39.369999999999997</v>
      </c>
      <c r="F609">
        <f t="shared" si="20"/>
        <v>-4.0475588160890918E-3</v>
      </c>
      <c r="H609" s="179"/>
      <c r="R609" s="199">
        <v>42513</v>
      </c>
      <c r="S609" s="180">
        <v>4.2919999999999998</v>
      </c>
    </row>
    <row r="610" spans="2:19">
      <c r="B610" s="198">
        <v>44511</v>
      </c>
      <c r="C610" s="178">
        <v>86516.75</v>
      </c>
      <c r="D610">
        <f t="shared" si="19"/>
        <v>-4.6692109222215006E-3</v>
      </c>
      <c r="E610" s="179">
        <v>38.71</v>
      </c>
      <c r="F610">
        <f t="shared" si="20"/>
        <v>-1.6764033528066991E-2</v>
      </c>
      <c r="H610" s="179"/>
      <c r="R610" s="199">
        <v>42514</v>
      </c>
      <c r="S610" s="180">
        <v>4.2919999999999998</v>
      </c>
    </row>
    <row r="611" spans="2:19">
      <c r="B611" s="198">
        <v>44512</v>
      </c>
      <c r="C611" s="178">
        <v>87243.64</v>
      </c>
      <c r="D611">
        <f t="shared" si="19"/>
        <v>8.401725677397831E-3</v>
      </c>
      <c r="E611" s="179">
        <v>38.51</v>
      </c>
      <c r="F611">
        <f t="shared" si="20"/>
        <v>-5.1666236114700226E-3</v>
      </c>
      <c r="H611" s="179"/>
      <c r="R611" s="199">
        <v>42515</v>
      </c>
      <c r="S611" s="180">
        <v>4.2919999999999998</v>
      </c>
    </row>
    <row r="612" spans="2:19">
      <c r="B612" s="198">
        <v>44515</v>
      </c>
      <c r="C612" s="178">
        <v>87685.82</v>
      </c>
      <c r="D612">
        <f t="shared" si="19"/>
        <v>5.0683350671751892E-3</v>
      </c>
      <c r="E612" s="179">
        <v>38.51</v>
      </c>
      <c r="F612">
        <f t="shared" si="20"/>
        <v>0</v>
      </c>
      <c r="H612" s="179"/>
      <c r="R612" s="199">
        <v>42516</v>
      </c>
      <c r="S612" s="180">
        <v>4.2919999999999998</v>
      </c>
    </row>
    <row r="613" spans="2:19">
      <c r="B613" s="198">
        <v>44516</v>
      </c>
      <c r="C613" s="178">
        <v>87117.94</v>
      </c>
      <c r="D613">
        <f t="shared" si="19"/>
        <v>-6.4763036942575569E-3</v>
      </c>
      <c r="E613" s="179">
        <v>38.53</v>
      </c>
      <c r="F613">
        <f t="shared" si="20"/>
        <v>5.1934562451316779E-4</v>
      </c>
      <c r="H613" s="179"/>
      <c r="R613" s="199">
        <v>42517</v>
      </c>
      <c r="S613" s="180">
        <v>4.2919999999999998</v>
      </c>
    </row>
    <row r="614" spans="2:19">
      <c r="B614" s="198">
        <v>44517</v>
      </c>
      <c r="C614" s="178">
        <v>86633.1</v>
      </c>
      <c r="D614">
        <f t="shared" si="19"/>
        <v>-5.5653290240792463E-3</v>
      </c>
      <c r="E614" s="179">
        <v>38.58</v>
      </c>
      <c r="F614">
        <f t="shared" si="20"/>
        <v>1.2976901116013018E-3</v>
      </c>
      <c r="H614" s="179"/>
      <c r="R614" s="199">
        <v>42520</v>
      </c>
      <c r="S614" s="180">
        <v>4.2919999999999998</v>
      </c>
    </row>
    <row r="615" spans="2:19">
      <c r="B615" s="198">
        <v>44518</v>
      </c>
      <c r="C615" s="178">
        <v>86745.87</v>
      </c>
      <c r="D615">
        <f t="shared" si="19"/>
        <v>1.3016964647460938E-3</v>
      </c>
      <c r="E615" s="179">
        <v>39.75</v>
      </c>
      <c r="F615">
        <f t="shared" si="20"/>
        <v>3.0326594090202219E-2</v>
      </c>
      <c r="H615" s="179"/>
      <c r="R615" s="199">
        <v>42521</v>
      </c>
      <c r="S615" s="180">
        <v>4.2919999999999998</v>
      </c>
    </row>
    <row r="616" spans="2:19">
      <c r="B616" s="198">
        <v>44519</v>
      </c>
      <c r="C616" s="178">
        <v>86939.24</v>
      </c>
      <c r="D616">
        <f t="shared" si="19"/>
        <v>2.2291551171256252E-3</v>
      </c>
      <c r="E616" s="179">
        <v>41.02</v>
      </c>
      <c r="F616">
        <f t="shared" si="20"/>
        <v>3.1949685534591321E-2</v>
      </c>
      <c r="H616" s="179"/>
      <c r="R616" s="199">
        <v>42522</v>
      </c>
      <c r="S616" s="180">
        <v>4.2919999999999998</v>
      </c>
    </row>
    <row r="617" spans="2:19">
      <c r="B617" s="198">
        <v>44522</v>
      </c>
      <c r="C617" s="178">
        <v>86472.88</v>
      </c>
      <c r="D617">
        <f t="shared" si="19"/>
        <v>-5.3642060823168025E-3</v>
      </c>
      <c r="E617" s="179">
        <v>41</v>
      </c>
      <c r="F617">
        <f t="shared" si="20"/>
        <v>-4.8756704046815091E-4</v>
      </c>
      <c r="H617" s="179"/>
      <c r="R617" s="199">
        <v>42523</v>
      </c>
      <c r="S617" s="180">
        <v>4.2919999999999998</v>
      </c>
    </row>
    <row r="618" spans="2:19">
      <c r="B618" s="198">
        <v>44523</v>
      </c>
      <c r="C618" s="178">
        <v>87078</v>
      </c>
      <c r="D618">
        <f t="shared" si="19"/>
        <v>6.9978009290310172E-3</v>
      </c>
      <c r="E618" s="179">
        <v>41.35</v>
      </c>
      <c r="F618">
        <f t="shared" si="20"/>
        <v>8.5365853658536661E-3</v>
      </c>
      <c r="H618" s="179"/>
      <c r="R618" s="199">
        <v>42524</v>
      </c>
      <c r="S618" s="180">
        <v>4.2919999999999998</v>
      </c>
    </row>
    <row r="619" spans="2:19">
      <c r="B619" s="198">
        <v>44524</v>
      </c>
      <c r="C619" s="178">
        <v>86896.91</v>
      </c>
      <c r="D619">
        <f t="shared" si="19"/>
        <v>-2.0796297572290845E-3</v>
      </c>
      <c r="E619" s="179">
        <v>41.46</v>
      </c>
      <c r="F619">
        <f t="shared" si="20"/>
        <v>2.6602176541716815E-3</v>
      </c>
      <c r="H619" s="179"/>
      <c r="R619" s="199">
        <v>42527</v>
      </c>
      <c r="S619" s="180">
        <v>4.2919999999999998</v>
      </c>
    </row>
    <row r="620" spans="2:19">
      <c r="B620" s="198">
        <v>44525</v>
      </c>
      <c r="C620" s="178">
        <v>87025.22</v>
      </c>
      <c r="D620">
        <f t="shared" si="19"/>
        <v>1.4765772453819714E-3</v>
      </c>
      <c r="E620" s="179">
        <v>41.52</v>
      </c>
      <c r="F620">
        <f t="shared" si="20"/>
        <v>1.4471780028944004E-3</v>
      </c>
      <c r="H620" s="179"/>
      <c r="R620" s="199">
        <v>42528</v>
      </c>
      <c r="S620" s="180">
        <v>4.2919999999999998</v>
      </c>
    </row>
    <row r="621" spans="2:19">
      <c r="B621" s="198">
        <v>44526</v>
      </c>
      <c r="C621" s="178">
        <v>85484.29</v>
      </c>
      <c r="D621">
        <f t="shared" si="19"/>
        <v>-1.7706706170923847E-2</v>
      </c>
      <c r="E621" s="179">
        <v>41.6</v>
      </c>
      <c r="F621">
        <f t="shared" si="20"/>
        <v>1.9267822736031004E-3</v>
      </c>
      <c r="H621" s="179"/>
      <c r="R621" s="199">
        <v>42529</v>
      </c>
      <c r="S621" s="180">
        <v>4.2919999999999998</v>
      </c>
    </row>
    <row r="622" spans="2:19">
      <c r="B622" s="198">
        <v>44529</v>
      </c>
      <c r="C622" s="178">
        <v>85066.37</v>
      </c>
      <c r="D622">
        <f t="shared" si="19"/>
        <v>-4.8888515071014993E-3</v>
      </c>
      <c r="E622" s="179">
        <v>42.7</v>
      </c>
      <c r="F622">
        <f t="shared" si="20"/>
        <v>2.6442307692307709E-2</v>
      </c>
      <c r="H622" s="179"/>
      <c r="R622" s="199">
        <v>42530</v>
      </c>
      <c r="S622" s="180">
        <v>4.2919999999999998</v>
      </c>
    </row>
    <row r="623" spans="2:19">
      <c r="B623" s="198">
        <v>44530</v>
      </c>
      <c r="C623" s="178">
        <v>85347.51</v>
      </c>
      <c r="D623">
        <f t="shared" si="19"/>
        <v>3.3049488299548013E-3</v>
      </c>
      <c r="E623" s="179">
        <v>42.7</v>
      </c>
      <c r="F623">
        <f t="shared" si="20"/>
        <v>0</v>
      </c>
      <c r="H623" s="179"/>
      <c r="R623" s="199">
        <v>42531</v>
      </c>
      <c r="S623" s="180">
        <v>4.2919999999999998</v>
      </c>
    </row>
    <row r="624" spans="2:19">
      <c r="B624" s="198">
        <v>44531</v>
      </c>
      <c r="C624" s="178">
        <v>85027.12</v>
      </c>
      <c r="D624">
        <f t="shared" si="19"/>
        <v>-3.7539466587835912E-3</v>
      </c>
      <c r="E624" s="179">
        <v>42.99</v>
      </c>
      <c r="F624">
        <f t="shared" si="20"/>
        <v>6.791569086651128E-3</v>
      </c>
      <c r="H624" s="179"/>
      <c r="R624" s="199">
        <v>42535</v>
      </c>
      <c r="S624" s="180">
        <v>4.2919999999999998</v>
      </c>
    </row>
    <row r="625" spans="2:19">
      <c r="B625" s="198">
        <v>44532</v>
      </c>
      <c r="C625" s="178">
        <v>84790.95</v>
      </c>
      <c r="D625">
        <f t="shared" si="19"/>
        <v>-2.7775843754321849E-3</v>
      </c>
      <c r="E625" s="179">
        <v>43.15</v>
      </c>
      <c r="F625">
        <f t="shared" si="20"/>
        <v>3.7217957664572587E-3</v>
      </c>
      <c r="H625" s="179"/>
      <c r="R625" s="199">
        <v>42536</v>
      </c>
      <c r="S625" s="180">
        <v>4.2919999999999998</v>
      </c>
    </row>
    <row r="626" spans="2:19">
      <c r="B626" s="198">
        <v>44533</v>
      </c>
      <c r="C626" s="178">
        <v>84875.22</v>
      </c>
      <c r="D626">
        <f t="shared" si="19"/>
        <v>9.9385606600699283E-4</v>
      </c>
      <c r="E626" s="179">
        <v>42.62</v>
      </c>
      <c r="F626">
        <f t="shared" si="20"/>
        <v>-1.2282734646581694E-2</v>
      </c>
      <c r="H626" s="179"/>
      <c r="R626" s="199">
        <v>42537</v>
      </c>
      <c r="S626" s="180">
        <v>4.2919999999999998</v>
      </c>
    </row>
    <row r="627" spans="2:19">
      <c r="B627" s="198">
        <v>44536</v>
      </c>
      <c r="C627" s="178">
        <v>84711.56</v>
      </c>
      <c r="D627">
        <f t="shared" si="19"/>
        <v>-1.9282424245852248E-3</v>
      </c>
      <c r="E627" s="179">
        <v>42.68</v>
      </c>
      <c r="F627">
        <f t="shared" si="20"/>
        <v>1.4077897700610631E-3</v>
      </c>
      <c r="H627" s="179"/>
      <c r="R627" s="199">
        <v>42538</v>
      </c>
      <c r="S627" s="180">
        <v>4.2919999999999998</v>
      </c>
    </row>
    <row r="628" spans="2:19">
      <c r="B628" s="198">
        <v>44537</v>
      </c>
      <c r="C628" s="178">
        <v>85568.84</v>
      </c>
      <c r="D628">
        <f t="shared" si="19"/>
        <v>1.0119988346336761E-2</v>
      </c>
      <c r="E628" s="179">
        <v>43.21</v>
      </c>
      <c r="F628">
        <f t="shared" si="20"/>
        <v>1.241799437675728E-2</v>
      </c>
      <c r="H628" s="179"/>
      <c r="R628" s="199">
        <v>42541</v>
      </c>
      <c r="S628" s="180">
        <v>4.2919999999999998</v>
      </c>
    </row>
    <row r="629" spans="2:19">
      <c r="B629" s="198">
        <v>44538</v>
      </c>
      <c r="C629" s="178">
        <v>86716.13</v>
      </c>
      <c r="D629">
        <f t="shared" si="19"/>
        <v>1.3407801251016149E-2</v>
      </c>
      <c r="E629" s="179">
        <v>43.84</v>
      </c>
      <c r="F629">
        <f t="shared" si="20"/>
        <v>1.4579958342976207E-2</v>
      </c>
      <c r="H629" s="179"/>
      <c r="R629" s="199">
        <v>42542</v>
      </c>
      <c r="S629" s="180">
        <v>4.2919999999999998</v>
      </c>
    </row>
    <row r="630" spans="2:19">
      <c r="B630" s="198">
        <v>44539</v>
      </c>
      <c r="C630" s="178">
        <v>86516.61</v>
      </c>
      <c r="D630">
        <f t="shared" si="19"/>
        <v>-2.3008406855795638E-3</v>
      </c>
      <c r="E630" s="179">
        <v>44.35</v>
      </c>
      <c r="F630">
        <f t="shared" si="20"/>
        <v>1.1633211678832023E-2</v>
      </c>
      <c r="H630" s="179"/>
      <c r="R630" s="199">
        <v>42543</v>
      </c>
      <c r="S630" s="180">
        <v>4.2919999999999998</v>
      </c>
    </row>
    <row r="631" spans="2:19">
      <c r="B631" s="198">
        <v>44540</v>
      </c>
      <c r="C631" s="178">
        <v>86274.71</v>
      </c>
      <c r="D631">
        <f t="shared" si="19"/>
        <v>-2.7959948962400505E-3</v>
      </c>
      <c r="E631" s="179">
        <v>43.63</v>
      </c>
      <c r="F631">
        <f t="shared" si="20"/>
        <v>-1.6234498308906442E-2</v>
      </c>
      <c r="H631" s="179"/>
      <c r="R631" s="199">
        <v>42544</v>
      </c>
      <c r="S631" s="180">
        <v>4.2919999999999998</v>
      </c>
    </row>
    <row r="632" spans="2:19">
      <c r="B632" s="198">
        <v>44543</v>
      </c>
      <c r="C632" s="178">
        <v>86607.38</v>
      </c>
      <c r="D632">
        <f t="shared" si="19"/>
        <v>3.8559387797421074E-3</v>
      </c>
      <c r="E632" s="179">
        <v>44.03</v>
      </c>
      <c r="F632">
        <f t="shared" si="20"/>
        <v>9.1680036672014964E-3</v>
      </c>
      <c r="H632" s="179"/>
      <c r="R632" s="199">
        <v>42545</v>
      </c>
      <c r="S632" s="180">
        <v>4.2919999999999998</v>
      </c>
    </row>
    <row r="633" spans="2:19">
      <c r="B633" s="198">
        <v>44544</v>
      </c>
      <c r="C633" s="178">
        <v>86616.16</v>
      </c>
      <c r="D633">
        <f t="shared" si="19"/>
        <v>1.013770420026372E-4</v>
      </c>
      <c r="E633" s="179">
        <v>44.25</v>
      </c>
      <c r="F633">
        <f t="shared" si="20"/>
        <v>4.9965932318873918E-3</v>
      </c>
      <c r="H633" s="179"/>
      <c r="R633" s="199">
        <v>42548</v>
      </c>
      <c r="S633" s="180">
        <v>4.2919999999999998</v>
      </c>
    </row>
    <row r="634" spans="2:19">
      <c r="B634" s="198">
        <v>44545</v>
      </c>
      <c r="C634" s="178">
        <v>85918.080000000002</v>
      </c>
      <c r="D634">
        <f t="shared" si="19"/>
        <v>-8.0594660395935103E-3</v>
      </c>
      <c r="E634" s="179">
        <v>43.93</v>
      </c>
      <c r="F634">
        <f t="shared" si="20"/>
        <v>-7.2316384180790561E-3</v>
      </c>
      <c r="H634" s="179"/>
      <c r="R634" s="199">
        <v>42549</v>
      </c>
      <c r="S634" s="180">
        <v>4.2919999999999998</v>
      </c>
    </row>
    <row r="635" spans="2:19">
      <c r="B635" s="198">
        <v>44546</v>
      </c>
      <c r="C635" s="178">
        <v>85717.99</v>
      </c>
      <c r="D635">
        <f t="shared" si="19"/>
        <v>-2.3288462684454281E-3</v>
      </c>
      <c r="E635" s="179">
        <v>44.23</v>
      </c>
      <c r="F635">
        <f t="shared" si="20"/>
        <v>6.8290462098792304E-3</v>
      </c>
      <c r="H635" s="179"/>
      <c r="R635" s="199">
        <v>42550</v>
      </c>
      <c r="S635" s="180">
        <v>4.2919999999999998</v>
      </c>
    </row>
    <row r="636" spans="2:19">
      <c r="B636" s="198">
        <v>44547</v>
      </c>
      <c r="C636" s="178">
        <v>85805.42</v>
      </c>
      <c r="D636">
        <f t="shared" si="19"/>
        <v>1.0199725868513809E-3</v>
      </c>
      <c r="E636" s="179">
        <v>43.15</v>
      </c>
      <c r="F636">
        <f t="shared" si="20"/>
        <v>-2.4417815962016642E-2</v>
      </c>
      <c r="H636" s="179"/>
      <c r="R636" s="199">
        <v>42551</v>
      </c>
      <c r="S636" s="180">
        <v>4.2919999999999998</v>
      </c>
    </row>
    <row r="637" spans="2:19">
      <c r="B637" s="198">
        <v>44550</v>
      </c>
      <c r="C637" s="178">
        <v>85535.23</v>
      </c>
      <c r="D637">
        <f t="shared" si="19"/>
        <v>-3.1488686845190239E-3</v>
      </c>
      <c r="E637" s="179">
        <v>44.42</v>
      </c>
      <c r="F637">
        <f t="shared" si="20"/>
        <v>2.9432213209733549E-2</v>
      </c>
      <c r="H637" s="179"/>
      <c r="R637" s="199">
        <v>42552</v>
      </c>
      <c r="S637" s="180">
        <v>4.2919999999999998</v>
      </c>
    </row>
    <row r="638" spans="2:19">
      <c r="B638" s="198">
        <v>44551</v>
      </c>
      <c r="C638" s="178">
        <v>86264.44</v>
      </c>
      <c r="D638">
        <f t="shared" si="19"/>
        <v>8.5252591242228615E-3</v>
      </c>
      <c r="E638" s="179">
        <v>45.47</v>
      </c>
      <c r="F638">
        <f t="shared" si="20"/>
        <v>2.3638000900495282E-2</v>
      </c>
      <c r="H638" s="179"/>
      <c r="R638" s="199">
        <v>42555</v>
      </c>
      <c r="S638" s="180">
        <v>4.2919999999999998</v>
      </c>
    </row>
    <row r="639" spans="2:19">
      <c r="B639" s="198">
        <v>44552</v>
      </c>
      <c r="C639" s="178">
        <v>86443.08</v>
      </c>
      <c r="D639">
        <f t="shared" si="19"/>
        <v>2.0708417048787009E-3</v>
      </c>
      <c r="E639" s="179">
        <v>45.52</v>
      </c>
      <c r="F639">
        <f t="shared" si="20"/>
        <v>1.0996261271167818E-3</v>
      </c>
      <c r="H639" s="179"/>
      <c r="R639" s="199">
        <v>42556</v>
      </c>
      <c r="S639" s="180">
        <v>4.2919999999999998</v>
      </c>
    </row>
    <row r="640" spans="2:19">
      <c r="B640" s="198">
        <v>44553</v>
      </c>
      <c r="C640" s="178">
        <v>86723.57</v>
      </c>
      <c r="D640">
        <f t="shared" si="19"/>
        <v>3.2447941466222652E-3</v>
      </c>
      <c r="E640" s="179">
        <v>46.11</v>
      </c>
      <c r="F640">
        <f t="shared" si="20"/>
        <v>1.2961335676625607E-2</v>
      </c>
      <c r="H640" s="179"/>
      <c r="R640" s="199">
        <v>42557</v>
      </c>
      <c r="S640" s="180">
        <v>4.2919999999999998</v>
      </c>
    </row>
    <row r="641" spans="2:19">
      <c r="B641" s="198">
        <v>44554</v>
      </c>
      <c r="C641" s="178">
        <v>87142.23</v>
      </c>
      <c r="D641">
        <f t="shared" si="19"/>
        <v>4.8275226677130245E-3</v>
      </c>
      <c r="E641" s="179">
        <v>46.25</v>
      </c>
      <c r="F641">
        <f t="shared" si="20"/>
        <v>3.0362177401865864E-3</v>
      </c>
      <c r="H641" s="179"/>
      <c r="R641" s="199">
        <v>42558</v>
      </c>
      <c r="S641" s="180">
        <v>4.2919999999999998</v>
      </c>
    </row>
    <row r="642" spans="2:19">
      <c r="B642" s="198">
        <v>44559</v>
      </c>
      <c r="C642" s="178">
        <v>88218.3</v>
      </c>
      <c r="D642">
        <f t="shared" si="19"/>
        <v>1.2348433130527026E-2</v>
      </c>
      <c r="E642" s="179">
        <v>46.7</v>
      </c>
      <c r="F642">
        <f t="shared" si="20"/>
        <v>9.7297297297298524E-3</v>
      </c>
      <c r="H642" s="179"/>
      <c r="R642" s="199">
        <v>42559</v>
      </c>
      <c r="S642" s="180">
        <v>4.2919999999999998</v>
      </c>
    </row>
    <row r="643" spans="2:19">
      <c r="B643" s="198">
        <v>44560</v>
      </c>
      <c r="C643" s="178">
        <v>88352.74</v>
      </c>
      <c r="D643">
        <f t="shared" si="19"/>
        <v>1.5239468454957272E-3</v>
      </c>
      <c r="E643" s="179">
        <v>46.71</v>
      </c>
      <c r="F643">
        <f t="shared" si="20"/>
        <v>2.1413276231263545E-4</v>
      </c>
      <c r="H643" s="179"/>
      <c r="R643" s="199">
        <v>42562</v>
      </c>
      <c r="S643" s="180">
        <v>4.2919999999999998</v>
      </c>
    </row>
    <row r="644" spans="2:19">
      <c r="B644" s="198">
        <v>44561</v>
      </c>
      <c r="C644" s="178">
        <v>87626.08</v>
      </c>
      <c r="D644">
        <f t="shared" si="19"/>
        <v>-8.2245327083234621E-3</v>
      </c>
      <c r="E644" s="179">
        <v>46.63</v>
      </c>
      <c r="F644">
        <f t="shared" si="20"/>
        <v>-1.7126953543138423E-3</v>
      </c>
      <c r="H644" s="179"/>
      <c r="R644" s="199">
        <v>42563</v>
      </c>
      <c r="S644" s="180">
        <v>4.2919999999999998</v>
      </c>
    </row>
    <row r="645" spans="2:19">
      <c r="B645" s="198">
        <v>44565</v>
      </c>
      <c r="C645" s="178">
        <v>89288.16</v>
      </c>
      <c r="D645">
        <f t="shared" si="19"/>
        <v>1.8967868926693887E-2</v>
      </c>
      <c r="E645" s="179">
        <v>46.14</v>
      </c>
      <c r="F645">
        <f t="shared" si="20"/>
        <v>-1.0508256487239964E-2</v>
      </c>
      <c r="H645" s="179"/>
      <c r="R645" s="199">
        <v>42564</v>
      </c>
      <c r="S645" s="180">
        <v>4.2919999999999998</v>
      </c>
    </row>
    <row r="646" spans="2:19">
      <c r="B646" s="198">
        <v>44566</v>
      </c>
      <c r="C646" s="178">
        <v>88985.12</v>
      </c>
      <c r="D646">
        <f t="shared" si="19"/>
        <v>-3.3939550327838353E-3</v>
      </c>
      <c r="E646" s="179">
        <v>45.89</v>
      </c>
      <c r="F646">
        <f t="shared" si="20"/>
        <v>-5.418292154312998E-3</v>
      </c>
      <c r="H646" s="179"/>
      <c r="R646" s="199">
        <v>42565</v>
      </c>
      <c r="S646" s="180">
        <v>4.2919999999999998</v>
      </c>
    </row>
    <row r="647" spans="2:19">
      <c r="B647" s="198">
        <v>44567</v>
      </c>
      <c r="C647" s="178">
        <v>86502.89</v>
      </c>
      <c r="D647">
        <f t="shared" si="19"/>
        <v>-2.7894888493716685E-2</v>
      </c>
      <c r="E647" s="179">
        <v>44.32</v>
      </c>
      <c r="F647">
        <f t="shared" si="20"/>
        <v>-3.4212246676835867E-2</v>
      </c>
      <c r="H647" s="179"/>
      <c r="R647" s="199">
        <v>42566</v>
      </c>
      <c r="S647" s="180">
        <v>4.2919999999999998</v>
      </c>
    </row>
    <row r="648" spans="2:19">
      <c r="B648" s="198">
        <v>44568</v>
      </c>
      <c r="C648" s="178">
        <v>87574.34</v>
      </c>
      <c r="D648">
        <f t="shared" ref="D648:D711" si="21">(C648/C647)-1</f>
        <v>1.2386291371305536E-2</v>
      </c>
      <c r="E648" s="179">
        <v>44.82</v>
      </c>
      <c r="F648">
        <f t="shared" ref="F648:F711" si="22">(E648/E647)-1</f>
        <v>1.1281588447653368E-2</v>
      </c>
      <c r="H648" s="179"/>
      <c r="R648" s="199">
        <v>42569</v>
      </c>
      <c r="S648" s="180">
        <v>4.2919999999999998</v>
      </c>
    </row>
    <row r="649" spans="2:19">
      <c r="B649" s="198">
        <v>44571</v>
      </c>
      <c r="C649" s="178">
        <v>87480.61</v>
      </c>
      <c r="D649">
        <f t="shared" si="21"/>
        <v>-1.0702906810373669E-3</v>
      </c>
      <c r="E649" s="179">
        <v>44.35</v>
      </c>
      <c r="F649">
        <f t="shared" si="22"/>
        <v>-1.0486390004462276E-2</v>
      </c>
      <c r="H649" s="179"/>
      <c r="R649" s="199">
        <v>42570</v>
      </c>
      <c r="S649" s="180">
        <v>4.2919999999999998</v>
      </c>
    </row>
    <row r="650" spans="2:19">
      <c r="B650" s="198">
        <v>44572</v>
      </c>
      <c r="C650" s="178">
        <v>86857.1</v>
      </c>
      <c r="D650">
        <f t="shared" si="21"/>
        <v>-7.1274080050424127E-3</v>
      </c>
      <c r="E650" s="179">
        <v>44.1</v>
      </c>
      <c r="F650">
        <f t="shared" si="22"/>
        <v>-5.636978579481422E-3</v>
      </c>
      <c r="H650" s="179"/>
      <c r="R650" s="199">
        <v>42571</v>
      </c>
      <c r="S650" s="180">
        <v>4.2919999999999998</v>
      </c>
    </row>
    <row r="651" spans="2:19">
      <c r="B651" s="198">
        <v>44573</v>
      </c>
      <c r="C651" s="178">
        <v>87437.49</v>
      </c>
      <c r="D651">
        <f t="shared" si="21"/>
        <v>6.6821250076274374E-3</v>
      </c>
      <c r="E651" s="179">
        <v>43.72</v>
      </c>
      <c r="F651">
        <f t="shared" si="22"/>
        <v>-8.6167800453514909E-3</v>
      </c>
      <c r="H651" s="179"/>
      <c r="R651" s="199">
        <v>42572</v>
      </c>
      <c r="S651" s="180">
        <v>4.2919999999999998</v>
      </c>
    </row>
    <row r="652" spans="2:19">
      <c r="B652" s="198">
        <v>44574</v>
      </c>
      <c r="C652" s="178">
        <v>87834.84</v>
      </c>
      <c r="D652">
        <f t="shared" si="21"/>
        <v>4.5443893689078863E-3</v>
      </c>
      <c r="E652" s="179">
        <v>41.27</v>
      </c>
      <c r="F652">
        <f t="shared" si="22"/>
        <v>-5.6038426349496739E-2</v>
      </c>
      <c r="H652" s="179"/>
      <c r="R652" s="199">
        <v>42573</v>
      </c>
      <c r="S652" s="180">
        <v>4.2919999999999998</v>
      </c>
    </row>
    <row r="653" spans="2:19">
      <c r="B653" s="198">
        <v>44575</v>
      </c>
      <c r="C653" s="178">
        <v>86929.16</v>
      </c>
      <c r="D653">
        <f t="shared" si="21"/>
        <v>-1.0311170373851541E-2</v>
      </c>
      <c r="E653" s="179">
        <v>40.79</v>
      </c>
      <c r="F653">
        <f t="shared" si="22"/>
        <v>-1.1630724497213585E-2</v>
      </c>
      <c r="H653" s="179"/>
      <c r="R653" s="199">
        <v>42576</v>
      </c>
      <c r="S653" s="180">
        <v>4.2919999999999998</v>
      </c>
    </row>
    <row r="654" spans="2:19">
      <c r="B654" s="198">
        <v>44578</v>
      </c>
      <c r="C654" s="178">
        <v>87178.49</v>
      </c>
      <c r="D654">
        <f t="shared" si="21"/>
        <v>2.8681975070274923E-3</v>
      </c>
      <c r="E654" s="179">
        <v>40.270000000000003</v>
      </c>
      <c r="F654">
        <f t="shared" si="22"/>
        <v>-1.2748222603579218E-2</v>
      </c>
      <c r="H654" s="179"/>
      <c r="R654" s="199">
        <v>42577</v>
      </c>
      <c r="S654" s="180">
        <v>4.2919999999999998</v>
      </c>
    </row>
    <row r="655" spans="2:19">
      <c r="B655" s="198">
        <v>44579</v>
      </c>
      <c r="C655" s="178">
        <v>87139.68</v>
      </c>
      <c r="D655">
        <f t="shared" si="21"/>
        <v>-4.4517862146975506E-4</v>
      </c>
      <c r="E655" s="179">
        <v>40.090000000000003</v>
      </c>
      <c r="F655">
        <f t="shared" si="22"/>
        <v>-4.4698286565681977E-3</v>
      </c>
      <c r="H655" s="179"/>
      <c r="R655" s="199">
        <v>42578</v>
      </c>
      <c r="S655" s="180">
        <v>4.2919999999999998</v>
      </c>
    </row>
    <row r="656" spans="2:19">
      <c r="B656" s="198">
        <v>44580</v>
      </c>
      <c r="C656" s="178">
        <v>86247.81</v>
      </c>
      <c r="D656">
        <f t="shared" si="21"/>
        <v>-1.023494692658955E-2</v>
      </c>
      <c r="E656" s="179">
        <v>39.89</v>
      </c>
      <c r="F656">
        <f t="shared" si="22"/>
        <v>-4.98877525567476E-3</v>
      </c>
      <c r="H656" s="179"/>
      <c r="R656" s="199">
        <v>42579</v>
      </c>
      <c r="S656" s="180">
        <v>4.2919999999999998</v>
      </c>
    </row>
    <row r="657" spans="2:19">
      <c r="B657" s="198">
        <v>44581</v>
      </c>
      <c r="C657" s="178">
        <v>86386.44</v>
      </c>
      <c r="D657">
        <f t="shared" si="21"/>
        <v>1.6073451604163846E-3</v>
      </c>
      <c r="E657" s="179">
        <v>40.11</v>
      </c>
      <c r="F657">
        <f t="shared" si="22"/>
        <v>5.5151667084480938E-3</v>
      </c>
      <c r="H657" s="179"/>
      <c r="R657" s="199">
        <v>42580</v>
      </c>
      <c r="S657" s="180">
        <v>4.2919999999999998</v>
      </c>
    </row>
    <row r="658" spans="2:19">
      <c r="B658" s="198">
        <v>44582</v>
      </c>
      <c r="C658" s="178">
        <v>84371.88</v>
      </c>
      <c r="D658">
        <f t="shared" si="21"/>
        <v>-2.3320326662378932E-2</v>
      </c>
      <c r="E658" s="179">
        <v>38.85</v>
      </c>
      <c r="F658">
        <f t="shared" si="22"/>
        <v>-3.1413612565444948E-2</v>
      </c>
      <c r="H658" s="179"/>
      <c r="R658" s="199">
        <v>42583</v>
      </c>
      <c r="S658" s="180">
        <v>4.2919999999999998</v>
      </c>
    </row>
    <row r="659" spans="2:19">
      <c r="B659" s="198">
        <v>44585</v>
      </c>
      <c r="C659" s="178">
        <v>83824.87</v>
      </c>
      <c r="D659">
        <f t="shared" si="21"/>
        <v>-6.4833212202929369E-3</v>
      </c>
      <c r="E659" s="179">
        <v>38.94</v>
      </c>
      <c r="F659">
        <f t="shared" si="22"/>
        <v>2.3166023166021343E-3</v>
      </c>
      <c r="H659" s="179"/>
      <c r="R659" s="199">
        <v>42584</v>
      </c>
      <c r="S659" s="180">
        <v>4.2919999999999998</v>
      </c>
    </row>
    <row r="660" spans="2:19">
      <c r="B660" s="198">
        <v>44586</v>
      </c>
      <c r="C660" s="178">
        <v>81646.080000000002</v>
      </c>
      <c r="D660">
        <f t="shared" si="21"/>
        <v>-2.599216676387317E-2</v>
      </c>
      <c r="E660" s="179">
        <v>37.979999999999997</v>
      </c>
      <c r="F660">
        <f t="shared" si="22"/>
        <v>-2.4653312788906034E-2</v>
      </c>
      <c r="H660" s="179"/>
      <c r="R660" s="199">
        <v>42585</v>
      </c>
      <c r="S660" s="180">
        <v>4.2919999999999998</v>
      </c>
    </row>
    <row r="661" spans="2:19">
      <c r="B661" s="198">
        <v>44588</v>
      </c>
      <c r="C661" s="178">
        <v>80141.289999999994</v>
      </c>
      <c r="D661">
        <f t="shared" si="21"/>
        <v>-1.8430646027341568E-2</v>
      </c>
      <c r="E661" s="179">
        <v>37.19</v>
      </c>
      <c r="F661">
        <f t="shared" si="22"/>
        <v>-2.0800421274354886E-2</v>
      </c>
      <c r="H661" s="179"/>
      <c r="R661" s="199">
        <v>42586</v>
      </c>
      <c r="S661" s="180">
        <v>4.2919999999999998</v>
      </c>
    </row>
    <row r="662" spans="2:19">
      <c r="B662" s="198">
        <v>44589</v>
      </c>
      <c r="C662" s="178">
        <v>81851.38</v>
      </c>
      <c r="D662">
        <f t="shared" si="21"/>
        <v>2.133843865003926E-2</v>
      </c>
      <c r="E662" s="179">
        <v>37.799999999999997</v>
      </c>
      <c r="F662">
        <f t="shared" si="22"/>
        <v>1.6402258671685876E-2</v>
      </c>
      <c r="H662" s="179"/>
      <c r="R662" s="199">
        <v>42587</v>
      </c>
      <c r="S662" s="180">
        <v>4.2919999999999998</v>
      </c>
    </row>
    <row r="663" spans="2:19">
      <c r="B663" s="198">
        <v>44592</v>
      </c>
      <c r="C663" s="178">
        <v>81873.490000000005</v>
      </c>
      <c r="D663">
        <f t="shared" si="21"/>
        <v>2.7012372912960103E-4</v>
      </c>
      <c r="E663" s="179">
        <v>37.909999999999997</v>
      </c>
      <c r="F663">
        <f t="shared" si="22"/>
        <v>2.9100529100529737E-3</v>
      </c>
      <c r="H663" s="179"/>
      <c r="R663" s="199">
        <v>42590</v>
      </c>
      <c r="S663" s="180">
        <v>4.2919999999999998</v>
      </c>
    </row>
    <row r="664" spans="2:19">
      <c r="B664" s="198">
        <v>44593</v>
      </c>
      <c r="C664" s="178">
        <v>82374.559999999998</v>
      </c>
      <c r="D664">
        <f t="shared" si="21"/>
        <v>6.1200518018713623E-3</v>
      </c>
      <c r="E664" s="179">
        <v>38.29</v>
      </c>
      <c r="F664">
        <f t="shared" si="22"/>
        <v>1.0023740437879347E-2</v>
      </c>
      <c r="H664" s="179"/>
      <c r="R664" s="199">
        <v>42591</v>
      </c>
      <c r="S664" s="180">
        <v>4.2919999999999998</v>
      </c>
    </row>
    <row r="665" spans="2:19">
      <c r="B665" s="198">
        <v>44594</v>
      </c>
      <c r="C665" s="178">
        <v>83354.39</v>
      </c>
      <c r="D665">
        <f t="shared" si="21"/>
        <v>1.1894813155906458E-2</v>
      </c>
      <c r="E665" s="179">
        <v>38.36</v>
      </c>
      <c r="F665">
        <f t="shared" si="22"/>
        <v>1.8281535648994041E-3</v>
      </c>
      <c r="H665" s="179"/>
      <c r="R665" s="199">
        <v>42592</v>
      </c>
      <c r="S665" s="180">
        <v>4.2919999999999998</v>
      </c>
    </row>
    <row r="666" spans="2:19">
      <c r="B666" s="198">
        <v>44595</v>
      </c>
      <c r="C666" s="178">
        <v>83072.89</v>
      </c>
      <c r="D666">
        <f t="shared" si="21"/>
        <v>-3.3771466625812652E-3</v>
      </c>
      <c r="E666" s="179">
        <v>38.270000000000003</v>
      </c>
      <c r="F666">
        <f t="shared" si="22"/>
        <v>-2.346193952033282E-3</v>
      </c>
      <c r="H666" s="179"/>
      <c r="R666" s="199">
        <v>42593</v>
      </c>
      <c r="S666" s="180">
        <v>4.2919999999999998</v>
      </c>
    </row>
    <row r="667" spans="2:19">
      <c r="B667" s="198">
        <v>44596</v>
      </c>
      <c r="C667" s="178">
        <v>83571.81</v>
      </c>
      <c r="D667">
        <f t="shared" si="21"/>
        <v>6.0058100783539903E-3</v>
      </c>
      <c r="E667" s="179">
        <v>38.36</v>
      </c>
      <c r="F667">
        <f t="shared" si="22"/>
        <v>2.3517115233864239E-3</v>
      </c>
      <c r="H667" s="179"/>
      <c r="R667" s="199">
        <v>42594</v>
      </c>
      <c r="S667" s="180">
        <v>4.2919999999999998</v>
      </c>
    </row>
    <row r="668" spans="2:19">
      <c r="B668" s="198">
        <v>44599</v>
      </c>
      <c r="C668" s="178">
        <v>83520.7</v>
      </c>
      <c r="D668">
        <f t="shared" si="21"/>
        <v>-6.1156985830512767E-4</v>
      </c>
      <c r="E668" s="179">
        <v>37.950000000000003</v>
      </c>
      <c r="F668">
        <f t="shared" si="22"/>
        <v>-1.0688216892596358E-2</v>
      </c>
      <c r="H668" s="179"/>
      <c r="R668" s="199">
        <v>42597</v>
      </c>
      <c r="S668" s="180">
        <v>4.2919999999999998</v>
      </c>
    </row>
    <row r="669" spans="2:19">
      <c r="B669" s="198">
        <v>44600</v>
      </c>
      <c r="C669" s="178">
        <v>84362.87</v>
      </c>
      <c r="D669">
        <f t="shared" si="21"/>
        <v>1.0083368554142824E-2</v>
      </c>
      <c r="E669" s="179">
        <v>37.89</v>
      </c>
      <c r="F669">
        <f t="shared" si="22"/>
        <v>-1.5810276679842916E-3</v>
      </c>
      <c r="H669" s="179"/>
      <c r="R669" s="199">
        <v>42598</v>
      </c>
      <c r="S669" s="180">
        <v>4.2919999999999998</v>
      </c>
    </row>
    <row r="670" spans="2:19">
      <c r="B670" s="198">
        <v>44601</v>
      </c>
      <c r="C670" s="178">
        <v>85308.86</v>
      </c>
      <c r="D670">
        <f t="shared" si="21"/>
        <v>1.12133453970924E-2</v>
      </c>
      <c r="E670" s="179">
        <v>38.729999999999997</v>
      </c>
      <c r="F670">
        <f t="shared" si="22"/>
        <v>2.2169437846397466E-2</v>
      </c>
      <c r="H670" s="179"/>
      <c r="R670" s="199">
        <v>42599</v>
      </c>
      <c r="S670" s="180">
        <v>4.2919999999999998</v>
      </c>
    </row>
    <row r="671" spans="2:19">
      <c r="B671" s="198">
        <v>44602</v>
      </c>
      <c r="C671" s="178">
        <v>85564.55</v>
      </c>
      <c r="D671">
        <f t="shared" si="21"/>
        <v>2.9972267827749199E-3</v>
      </c>
      <c r="E671" s="179">
        <v>37.869999999999997</v>
      </c>
      <c r="F671">
        <f t="shared" si="22"/>
        <v>-2.2205009036922241E-2</v>
      </c>
      <c r="H671" s="179"/>
      <c r="R671" s="199">
        <v>42600</v>
      </c>
      <c r="S671" s="180">
        <v>4.2919999999999998</v>
      </c>
    </row>
    <row r="672" spans="2:19">
      <c r="B672" s="198">
        <v>44603</v>
      </c>
      <c r="C672" s="178">
        <v>84667.79</v>
      </c>
      <c r="D672">
        <f t="shared" si="21"/>
        <v>-1.0480508575105074E-2</v>
      </c>
      <c r="E672" s="179">
        <v>37.18</v>
      </c>
      <c r="F672">
        <f t="shared" si="22"/>
        <v>-1.8220227092685448E-2</v>
      </c>
      <c r="H672" s="179"/>
      <c r="R672" s="199">
        <v>42601</v>
      </c>
      <c r="S672" s="180">
        <v>4.2919999999999998</v>
      </c>
    </row>
    <row r="673" spans="2:19">
      <c r="B673" s="198">
        <v>44606</v>
      </c>
      <c r="C673" s="178">
        <v>84909.14</v>
      </c>
      <c r="D673">
        <f t="shared" si="21"/>
        <v>2.8505527308555489E-3</v>
      </c>
      <c r="E673" s="179">
        <v>37.51</v>
      </c>
      <c r="F673">
        <f t="shared" si="22"/>
        <v>8.8757396449703485E-3</v>
      </c>
      <c r="H673" s="179"/>
      <c r="R673" s="199">
        <v>42604</v>
      </c>
      <c r="S673" s="180">
        <v>4.2919999999999998</v>
      </c>
    </row>
    <row r="674" spans="2:19">
      <c r="B674" s="198">
        <v>44607</v>
      </c>
      <c r="C674" s="178">
        <v>84409.18</v>
      </c>
      <c r="D674">
        <f t="shared" si="21"/>
        <v>-5.8881764672213954E-3</v>
      </c>
      <c r="E674" s="179">
        <v>37.36</v>
      </c>
      <c r="F674">
        <f t="shared" si="22"/>
        <v>-3.9989336177018719E-3</v>
      </c>
      <c r="H674" s="179"/>
      <c r="R674" s="199">
        <v>42605</v>
      </c>
      <c r="S674" s="180">
        <v>4.2919999999999998</v>
      </c>
    </row>
    <row r="675" spans="2:19">
      <c r="B675" s="198">
        <v>44608</v>
      </c>
      <c r="C675" s="178">
        <v>85448.82</v>
      </c>
      <c r="D675">
        <f t="shared" si="21"/>
        <v>1.2316669821931914E-2</v>
      </c>
      <c r="E675" s="179">
        <v>38.020000000000003</v>
      </c>
      <c r="F675">
        <f t="shared" si="22"/>
        <v>1.7665952890792314E-2</v>
      </c>
      <c r="H675" s="179"/>
      <c r="R675" s="199">
        <v>42606</v>
      </c>
      <c r="S675" s="180">
        <v>4.2919999999999998</v>
      </c>
    </row>
    <row r="676" spans="2:19">
      <c r="B676" s="198">
        <v>44609</v>
      </c>
      <c r="C676" s="178">
        <v>85475.48</v>
      </c>
      <c r="D676">
        <f t="shared" si="21"/>
        <v>3.119996273792669E-4</v>
      </c>
      <c r="E676" s="179">
        <v>38.1</v>
      </c>
      <c r="F676">
        <f t="shared" si="22"/>
        <v>2.104155707522315E-3</v>
      </c>
      <c r="H676" s="179"/>
      <c r="R676" s="199">
        <v>42607</v>
      </c>
      <c r="S676" s="180">
        <v>4.2919999999999998</v>
      </c>
    </row>
    <row r="677" spans="2:19">
      <c r="B677" s="198">
        <v>44610</v>
      </c>
      <c r="C677" s="178">
        <v>84670.99</v>
      </c>
      <c r="D677">
        <f t="shared" si="21"/>
        <v>-9.4119389560607392E-3</v>
      </c>
      <c r="E677" s="179">
        <v>37.6</v>
      </c>
      <c r="F677">
        <f t="shared" si="22"/>
        <v>-1.3123359580052507E-2</v>
      </c>
      <c r="H677" s="179"/>
      <c r="R677" s="199">
        <v>42608</v>
      </c>
      <c r="S677" s="180">
        <v>4.2919999999999998</v>
      </c>
    </row>
    <row r="678" spans="2:19">
      <c r="B678" s="198">
        <v>44613</v>
      </c>
      <c r="C678" s="178">
        <v>84740.57</v>
      </c>
      <c r="D678">
        <f t="shared" si="21"/>
        <v>8.2176906163500263E-4</v>
      </c>
      <c r="E678" s="179">
        <v>36.25</v>
      </c>
      <c r="F678">
        <f t="shared" si="22"/>
        <v>-3.5904255319148981E-2</v>
      </c>
      <c r="H678" s="179"/>
      <c r="R678" s="199">
        <v>42611</v>
      </c>
      <c r="S678" s="180">
        <v>4.2919999999999998</v>
      </c>
    </row>
    <row r="679" spans="2:19">
      <c r="B679" s="198">
        <v>44614</v>
      </c>
      <c r="C679" s="178">
        <v>83825.81</v>
      </c>
      <c r="D679">
        <f t="shared" si="21"/>
        <v>-1.0794829442379417E-2</v>
      </c>
      <c r="E679" s="179">
        <v>35.49</v>
      </c>
      <c r="F679">
        <f t="shared" si="22"/>
        <v>-2.0965517241379295E-2</v>
      </c>
      <c r="H679" s="179"/>
      <c r="R679" s="199">
        <v>42612</v>
      </c>
      <c r="S679" s="180">
        <v>4.2919999999999998</v>
      </c>
    </row>
    <row r="680" spans="2:19">
      <c r="B680" s="198">
        <v>44615</v>
      </c>
      <c r="C680" s="178">
        <v>84435.65</v>
      </c>
      <c r="D680">
        <f t="shared" si="21"/>
        <v>7.2750862771262526E-3</v>
      </c>
      <c r="E680" s="179">
        <v>35.61</v>
      </c>
      <c r="F680">
        <f t="shared" si="22"/>
        <v>3.3812341504648735E-3</v>
      </c>
      <c r="H680" s="179"/>
      <c r="R680" s="199">
        <v>42613</v>
      </c>
      <c r="S680" s="180">
        <v>4.2919999999999998</v>
      </c>
    </row>
    <row r="681" spans="2:19">
      <c r="B681" s="198">
        <v>44616</v>
      </c>
      <c r="C681" s="178">
        <v>82364.899999999994</v>
      </c>
      <c r="D681">
        <f t="shared" si="21"/>
        <v>-2.4524593581028875E-2</v>
      </c>
      <c r="E681" s="179">
        <v>35.520000000000003</v>
      </c>
      <c r="F681">
        <f t="shared" si="22"/>
        <v>-2.5273799494522908E-3</v>
      </c>
      <c r="H681" s="179"/>
      <c r="R681" s="199">
        <v>42614</v>
      </c>
      <c r="S681" s="180">
        <v>4.2919999999999998</v>
      </c>
    </row>
    <row r="682" spans="2:19">
      <c r="B682" s="198">
        <v>44617</v>
      </c>
      <c r="C682" s="178">
        <v>82613.759999999995</v>
      </c>
      <c r="D682">
        <f t="shared" si="21"/>
        <v>3.0214326733839503E-3</v>
      </c>
      <c r="E682" s="179">
        <v>34.979999999999997</v>
      </c>
      <c r="F682">
        <f t="shared" si="22"/>
        <v>-1.5202702702702853E-2</v>
      </c>
      <c r="H682" s="179"/>
      <c r="R682" s="199">
        <v>42615</v>
      </c>
      <c r="S682" s="180">
        <v>4.2919999999999998</v>
      </c>
    </row>
    <row r="683" spans="2:19">
      <c r="B683" s="198">
        <v>44620</v>
      </c>
      <c r="C683" s="178">
        <v>83287.820000000007</v>
      </c>
      <c r="D683">
        <f t="shared" si="21"/>
        <v>8.1591734839330243E-3</v>
      </c>
      <c r="E683" s="179">
        <v>35.049999999999997</v>
      </c>
      <c r="F683">
        <f t="shared" si="22"/>
        <v>2.0011435105775632E-3</v>
      </c>
      <c r="H683" s="179"/>
      <c r="R683" s="199">
        <v>42618</v>
      </c>
      <c r="S683" s="180">
        <v>4.2919999999999998</v>
      </c>
    </row>
    <row r="684" spans="2:19">
      <c r="B684" s="198">
        <v>44621</v>
      </c>
      <c r="C684" s="178">
        <v>84017.36</v>
      </c>
      <c r="D684">
        <f t="shared" si="21"/>
        <v>8.7592639596041355E-3</v>
      </c>
      <c r="E684" s="179">
        <v>34.69</v>
      </c>
      <c r="F684">
        <f t="shared" si="22"/>
        <v>-1.0271041369472211E-2</v>
      </c>
      <c r="H684" s="179"/>
      <c r="R684" s="199">
        <v>42619</v>
      </c>
      <c r="S684" s="180">
        <v>4.2919999999999998</v>
      </c>
    </row>
    <row r="685" spans="2:19">
      <c r="B685" s="198">
        <v>44622</v>
      </c>
      <c r="C685" s="178">
        <v>84297.84</v>
      </c>
      <c r="D685">
        <f t="shared" si="21"/>
        <v>3.3383576917913604E-3</v>
      </c>
      <c r="E685" s="179">
        <v>34.24</v>
      </c>
      <c r="F685">
        <f t="shared" si="22"/>
        <v>-1.297203805131153E-2</v>
      </c>
      <c r="H685" s="179"/>
      <c r="R685" s="199">
        <v>42620</v>
      </c>
      <c r="S685" s="180">
        <v>4.2919999999999998</v>
      </c>
    </row>
    <row r="686" spans="2:19">
      <c r="B686" s="198">
        <v>44623</v>
      </c>
      <c r="C686" s="178">
        <v>84813.46</v>
      </c>
      <c r="D686">
        <f t="shared" si="21"/>
        <v>6.1166454561589756E-3</v>
      </c>
      <c r="E686" s="179">
        <v>33.5</v>
      </c>
      <c r="F686">
        <f t="shared" si="22"/>
        <v>-2.161214953271029E-2</v>
      </c>
      <c r="H686" s="179"/>
      <c r="R686" s="199">
        <v>42621</v>
      </c>
      <c r="S686" s="180">
        <v>4.2919999999999998</v>
      </c>
    </row>
    <row r="687" spans="2:19">
      <c r="B687" s="198">
        <v>44624</v>
      </c>
      <c r="C687" s="178">
        <v>84238.68</v>
      </c>
      <c r="D687">
        <f t="shared" si="21"/>
        <v>-6.7769903503526185E-3</v>
      </c>
      <c r="E687" s="179">
        <v>33.24</v>
      </c>
      <c r="F687">
        <f t="shared" si="22"/>
        <v>-7.7611940298506488E-3</v>
      </c>
      <c r="H687" s="179"/>
      <c r="R687" s="199">
        <v>42622</v>
      </c>
      <c r="S687" s="180">
        <v>4.2919999999999998</v>
      </c>
    </row>
    <row r="688" spans="2:19">
      <c r="B688" s="198">
        <v>44627</v>
      </c>
      <c r="C688" s="178">
        <v>83452.91</v>
      </c>
      <c r="D688">
        <f t="shared" si="21"/>
        <v>-9.327900199765593E-3</v>
      </c>
      <c r="E688" s="179">
        <v>32.67</v>
      </c>
      <c r="F688">
        <f t="shared" si="22"/>
        <v>-1.7148014440433235E-2</v>
      </c>
      <c r="H688" s="179"/>
      <c r="R688" s="199">
        <v>42625</v>
      </c>
      <c r="S688" s="180">
        <v>4.2919999999999998</v>
      </c>
    </row>
    <row r="689" spans="2:19">
      <c r="B689" s="198">
        <v>44628</v>
      </c>
      <c r="C689" s="178">
        <v>82688.3</v>
      </c>
      <c r="D689">
        <f t="shared" si="21"/>
        <v>-9.1621730146977942E-3</v>
      </c>
      <c r="E689" s="179">
        <v>32.22</v>
      </c>
      <c r="F689">
        <f t="shared" si="22"/>
        <v>-1.3774104683195731E-2</v>
      </c>
      <c r="H689" s="179"/>
      <c r="R689" s="199">
        <v>42626</v>
      </c>
      <c r="S689" s="180">
        <v>4.2919999999999998</v>
      </c>
    </row>
    <row r="690" spans="2:19">
      <c r="B690" s="198">
        <v>44629</v>
      </c>
      <c r="C690" s="178">
        <v>83597.69</v>
      </c>
      <c r="D690">
        <f t="shared" si="21"/>
        <v>1.0997807428620554E-2</v>
      </c>
      <c r="E690" s="179">
        <v>33.07</v>
      </c>
      <c r="F690">
        <f t="shared" si="22"/>
        <v>2.6381129733085151E-2</v>
      </c>
      <c r="H690" s="179"/>
      <c r="R690" s="199">
        <v>42627</v>
      </c>
      <c r="S690" s="180">
        <v>4.2919999999999998</v>
      </c>
    </row>
    <row r="691" spans="2:19">
      <c r="B691" s="198">
        <v>44630</v>
      </c>
      <c r="C691" s="178">
        <v>84615.19</v>
      </c>
      <c r="D691">
        <f t="shared" si="21"/>
        <v>1.2171388946273565E-2</v>
      </c>
      <c r="E691" s="179">
        <v>33.9</v>
      </c>
      <c r="F691">
        <f t="shared" si="22"/>
        <v>2.5098276383429097E-2</v>
      </c>
      <c r="H691" s="179"/>
      <c r="R691" s="199">
        <v>42628</v>
      </c>
      <c r="S691" s="180">
        <v>4.2919999999999998</v>
      </c>
    </row>
    <row r="692" spans="2:19">
      <c r="B692" s="198">
        <v>44631</v>
      </c>
      <c r="C692" s="178">
        <v>83806.81</v>
      </c>
      <c r="D692">
        <f t="shared" si="21"/>
        <v>-9.5536037914706329E-3</v>
      </c>
      <c r="E692" s="179">
        <v>33.18</v>
      </c>
      <c r="F692">
        <f t="shared" si="22"/>
        <v>-2.1238938053097289E-2</v>
      </c>
      <c r="H692" s="179"/>
      <c r="R692" s="199">
        <v>42629</v>
      </c>
      <c r="S692" s="180">
        <v>4.2919999999999998</v>
      </c>
    </row>
    <row r="693" spans="2:19">
      <c r="B693" s="198">
        <v>44634</v>
      </c>
      <c r="C693" s="178">
        <v>84756.19</v>
      </c>
      <c r="D693">
        <f t="shared" si="21"/>
        <v>1.1328196360176568E-2</v>
      </c>
      <c r="E693" s="179">
        <v>33.61</v>
      </c>
      <c r="F693">
        <f t="shared" si="22"/>
        <v>1.29596142254369E-2</v>
      </c>
      <c r="H693" s="179"/>
      <c r="R693" s="199">
        <v>42632</v>
      </c>
      <c r="S693" s="180">
        <v>4.2919999999999998</v>
      </c>
    </row>
    <row r="694" spans="2:19">
      <c r="B694" s="198">
        <v>44635</v>
      </c>
      <c r="C694" s="178">
        <v>84030.53</v>
      </c>
      <c r="D694">
        <f t="shared" si="21"/>
        <v>-8.5617345470578865E-3</v>
      </c>
      <c r="E694" s="179">
        <v>33.94</v>
      </c>
      <c r="F694">
        <f t="shared" si="22"/>
        <v>9.8185063969056241E-3</v>
      </c>
      <c r="H694" s="179"/>
      <c r="R694" s="199">
        <v>42633</v>
      </c>
      <c r="S694" s="180">
        <v>4.2919999999999998</v>
      </c>
    </row>
    <row r="695" spans="2:19">
      <c r="B695" s="198">
        <v>44636</v>
      </c>
      <c r="C695" s="178">
        <v>84943.25</v>
      </c>
      <c r="D695">
        <f t="shared" si="21"/>
        <v>1.0861766550799956E-2</v>
      </c>
      <c r="E695" s="179">
        <v>34.43</v>
      </c>
      <c r="F695">
        <f t="shared" si="22"/>
        <v>1.4437242192103739E-2</v>
      </c>
      <c r="H695" s="179"/>
      <c r="R695" s="199">
        <v>42634</v>
      </c>
      <c r="S695" s="180">
        <v>4.2919999999999998</v>
      </c>
    </row>
    <row r="696" spans="2:19">
      <c r="B696" s="198">
        <v>44637</v>
      </c>
      <c r="C696" s="178">
        <v>85933.38</v>
      </c>
      <c r="D696">
        <f t="shared" si="21"/>
        <v>1.1656370576826447E-2</v>
      </c>
      <c r="E696" s="179">
        <v>34.72</v>
      </c>
      <c r="F696">
        <f t="shared" si="22"/>
        <v>8.4228870171361159E-3</v>
      </c>
      <c r="H696" s="179"/>
      <c r="R696" s="199">
        <v>42635</v>
      </c>
      <c r="S696" s="180">
        <v>4.2919999999999998</v>
      </c>
    </row>
    <row r="697" spans="2:19">
      <c r="B697" s="198">
        <v>44638</v>
      </c>
      <c r="C697" s="178">
        <v>86502.04</v>
      </c>
      <c r="D697">
        <f t="shared" si="21"/>
        <v>6.617451798125451E-3</v>
      </c>
      <c r="E697" s="179">
        <v>35.130000000000003</v>
      </c>
      <c r="F697">
        <f t="shared" si="22"/>
        <v>1.1808755760368772E-2</v>
      </c>
      <c r="H697" s="179"/>
      <c r="R697" s="199">
        <v>42636</v>
      </c>
      <c r="S697" s="180">
        <v>4.2919999999999998</v>
      </c>
    </row>
    <row r="698" spans="2:19">
      <c r="B698" s="198">
        <v>44641</v>
      </c>
      <c r="C698" s="178">
        <v>86363.78</v>
      </c>
      <c r="D698">
        <f t="shared" si="21"/>
        <v>-1.5983438078454038E-3</v>
      </c>
      <c r="E698" s="179">
        <v>35.06</v>
      </c>
      <c r="F698">
        <f t="shared" si="22"/>
        <v>-1.9925989183035009E-3</v>
      </c>
      <c r="H698" s="179"/>
      <c r="R698" s="199">
        <v>42639</v>
      </c>
      <c r="S698" s="180">
        <v>4.2919999999999998</v>
      </c>
    </row>
    <row r="699" spans="2:19">
      <c r="B699" s="198">
        <v>44642</v>
      </c>
      <c r="C699" s="178">
        <v>87076.51</v>
      </c>
      <c r="D699">
        <f t="shared" si="21"/>
        <v>8.2526494324355326E-3</v>
      </c>
      <c r="E699" s="179">
        <v>34.799999999999997</v>
      </c>
      <c r="F699">
        <f t="shared" si="22"/>
        <v>-7.4158585282374512E-3</v>
      </c>
      <c r="H699" s="179"/>
      <c r="R699" s="199">
        <v>42640</v>
      </c>
      <c r="S699" s="180">
        <v>4.2919999999999998</v>
      </c>
    </row>
    <row r="700" spans="2:19">
      <c r="B700" s="198">
        <v>44643</v>
      </c>
      <c r="C700" s="178">
        <v>87586.32</v>
      </c>
      <c r="D700">
        <f t="shared" si="21"/>
        <v>5.8547362543586168E-3</v>
      </c>
      <c r="E700" s="179">
        <v>35.39</v>
      </c>
      <c r="F700">
        <f t="shared" si="22"/>
        <v>1.6954022988505901E-2</v>
      </c>
      <c r="H700" s="179"/>
      <c r="R700" s="199">
        <v>42641</v>
      </c>
      <c r="S700" s="180">
        <v>4.2919999999999998</v>
      </c>
    </row>
    <row r="701" spans="2:19">
      <c r="B701" s="198">
        <v>44644</v>
      </c>
      <c r="C701" s="178">
        <v>87636.7</v>
      </c>
      <c r="D701">
        <f t="shared" si="21"/>
        <v>5.7520398162624886E-4</v>
      </c>
      <c r="E701" s="179">
        <v>35.22</v>
      </c>
      <c r="F701">
        <f t="shared" si="22"/>
        <v>-4.80361684091557E-3</v>
      </c>
      <c r="H701" s="179"/>
      <c r="R701" s="199">
        <v>42642</v>
      </c>
      <c r="S701" s="180">
        <v>4.2919999999999998</v>
      </c>
    </row>
    <row r="702" spans="2:19">
      <c r="B702" s="198">
        <v>44645</v>
      </c>
      <c r="C702" s="178">
        <v>87877.32</v>
      </c>
      <c r="D702">
        <f t="shared" si="21"/>
        <v>2.7456533621188495E-3</v>
      </c>
      <c r="E702" s="179">
        <v>35.15</v>
      </c>
      <c r="F702">
        <f t="shared" si="22"/>
        <v>-1.9875070982396936E-3</v>
      </c>
      <c r="H702" s="179"/>
      <c r="R702" s="199">
        <v>42643</v>
      </c>
      <c r="S702" s="180">
        <v>4.2919999999999998</v>
      </c>
    </row>
    <row r="703" spans="2:19">
      <c r="B703" s="198">
        <v>44648</v>
      </c>
      <c r="C703" s="178">
        <v>87875.49</v>
      </c>
      <c r="D703">
        <f t="shared" si="21"/>
        <v>-2.0824485771786527E-5</v>
      </c>
      <c r="E703" s="179">
        <v>35.03</v>
      </c>
      <c r="F703">
        <f t="shared" si="22"/>
        <v>-3.4139402560454668E-3</v>
      </c>
      <c r="H703" s="179"/>
      <c r="R703" s="199">
        <v>42646</v>
      </c>
      <c r="S703" s="180">
        <v>4.2919999999999998</v>
      </c>
    </row>
    <row r="704" spans="2:19">
      <c r="B704" s="198">
        <v>44649</v>
      </c>
      <c r="C704" s="178">
        <v>88534.88</v>
      </c>
      <c r="D704">
        <f t="shared" si="21"/>
        <v>7.5036850434631042E-3</v>
      </c>
      <c r="E704" s="179">
        <v>35.729999999999997</v>
      </c>
      <c r="F704">
        <f t="shared" si="22"/>
        <v>1.9982871824150594E-2</v>
      </c>
      <c r="H704" s="179"/>
      <c r="R704" s="199">
        <v>42647</v>
      </c>
      <c r="S704" s="180">
        <v>4.2919999999999998</v>
      </c>
    </row>
    <row r="705" spans="2:19">
      <c r="B705" s="198">
        <v>44650</v>
      </c>
      <c r="C705" s="178">
        <v>89151.76</v>
      </c>
      <c r="D705">
        <f t="shared" si="21"/>
        <v>6.9676493603423317E-3</v>
      </c>
      <c r="E705" s="179">
        <v>35.79</v>
      </c>
      <c r="F705">
        <f t="shared" si="22"/>
        <v>1.6792611251050804E-3</v>
      </c>
      <c r="H705" s="179"/>
      <c r="R705" s="199">
        <v>42648</v>
      </c>
      <c r="S705" s="180">
        <v>4.2919999999999998</v>
      </c>
    </row>
    <row r="706" spans="2:19">
      <c r="B706" s="198">
        <v>44651</v>
      </c>
      <c r="C706" s="178">
        <v>89045.52</v>
      </c>
      <c r="D706">
        <f t="shared" si="21"/>
        <v>-1.1916758569879837E-3</v>
      </c>
      <c r="E706" s="179">
        <v>35.479999999999997</v>
      </c>
      <c r="F706">
        <f t="shared" si="22"/>
        <v>-8.6616373288628257E-3</v>
      </c>
      <c r="H706" s="179"/>
      <c r="R706" s="199">
        <v>42649</v>
      </c>
      <c r="S706" s="180">
        <v>4.2919999999999998</v>
      </c>
    </row>
    <row r="707" spans="2:19">
      <c r="B707" s="198">
        <v>44652</v>
      </c>
      <c r="C707" s="178">
        <v>89003.61</v>
      </c>
      <c r="D707">
        <f t="shared" si="21"/>
        <v>-4.7065815326818861E-4</v>
      </c>
      <c r="E707" s="179">
        <v>35.270000000000003</v>
      </c>
      <c r="F707">
        <f t="shared" si="22"/>
        <v>-5.9188275084552933E-3</v>
      </c>
      <c r="H707" s="179"/>
      <c r="R707" s="199">
        <v>42650</v>
      </c>
      <c r="S707" s="180">
        <v>4.2919999999999998</v>
      </c>
    </row>
    <row r="708" spans="2:19">
      <c r="B708" s="198">
        <v>44655</v>
      </c>
      <c r="C708" s="178">
        <v>89380.800000000003</v>
      </c>
      <c r="D708">
        <f t="shared" si="21"/>
        <v>4.2379179900680075E-3</v>
      </c>
      <c r="E708" s="179">
        <v>35.35</v>
      </c>
      <c r="F708">
        <f t="shared" si="22"/>
        <v>2.268216614686569E-3</v>
      </c>
      <c r="H708" s="179"/>
      <c r="R708" s="199">
        <v>42653</v>
      </c>
      <c r="S708" s="180">
        <v>4.2919999999999998</v>
      </c>
    </row>
    <row r="709" spans="2:19">
      <c r="B709" s="198">
        <v>44656</v>
      </c>
      <c r="C709" s="178">
        <v>89544.97</v>
      </c>
      <c r="D709">
        <f t="shared" si="21"/>
        <v>1.8367479369170159E-3</v>
      </c>
      <c r="E709" s="179">
        <v>35.340000000000003</v>
      </c>
      <c r="F709">
        <f t="shared" si="22"/>
        <v>-2.8288543140020384E-4</v>
      </c>
      <c r="H709" s="179"/>
      <c r="R709" s="199">
        <v>42654</v>
      </c>
      <c r="S709" s="180">
        <v>4.2919999999999998</v>
      </c>
    </row>
    <row r="710" spans="2:19">
      <c r="B710" s="198">
        <v>44657</v>
      </c>
      <c r="C710" s="178">
        <v>89032.05</v>
      </c>
      <c r="D710">
        <f t="shared" si="21"/>
        <v>-5.7280716046920199E-3</v>
      </c>
      <c r="E710" s="179">
        <v>34.83</v>
      </c>
      <c r="F710">
        <f t="shared" si="22"/>
        <v>-1.4431239388794759E-2</v>
      </c>
      <c r="H710" s="179"/>
      <c r="R710" s="199">
        <v>42655</v>
      </c>
      <c r="S710" s="180">
        <v>4.2919999999999998</v>
      </c>
    </row>
    <row r="711" spans="2:19">
      <c r="B711" s="198">
        <v>44658</v>
      </c>
      <c r="C711" s="178">
        <v>88421.74</v>
      </c>
      <c r="D711">
        <f t="shared" si="21"/>
        <v>-6.854947179133819E-3</v>
      </c>
      <c r="E711" s="179">
        <v>34.78</v>
      </c>
      <c r="F711">
        <f t="shared" si="22"/>
        <v>-1.4355440712029433E-3</v>
      </c>
      <c r="H711" s="179"/>
      <c r="R711" s="199">
        <v>42656</v>
      </c>
      <c r="S711" s="180">
        <v>4.2919999999999998</v>
      </c>
    </row>
    <row r="712" spans="2:19">
      <c r="B712" s="198">
        <v>44659</v>
      </c>
      <c r="C712" s="178">
        <v>88847.46</v>
      </c>
      <c r="D712">
        <f t="shared" ref="D712:D775" si="23">(C712/C711)-1</f>
        <v>4.8146530479946659E-3</v>
      </c>
      <c r="E712" s="179">
        <v>34.799999999999997</v>
      </c>
      <c r="F712">
        <f t="shared" ref="F712:F775" si="24">(E712/E711)-1</f>
        <v>5.7504312823453141E-4</v>
      </c>
      <c r="H712" s="179"/>
      <c r="R712" s="199">
        <v>42657</v>
      </c>
      <c r="S712" s="180">
        <v>4.2919999999999998</v>
      </c>
    </row>
    <row r="713" spans="2:19">
      <c r="B713" s="198">
        <v>44662</v>
      </c>
      <c r="C713" s="178">
        <v>88862.18</v>
      </c>
      <c r="D713">
        <f t="shared" si="23"/>
        <v>1.6567721800919699E-4</v>
      </c>
      <c r="E713" s="179">
        <v>35.229999999999997</v>
      </c>
      <c r="F713">
        <f t="shared" si="24"/>
        <v>1.2356321839080531E-2</v>
      </c>
      <c r="H713" s="179"/>
      <c r="R713" s="199">
        <v>42660</v>
      </c>
      <c r="S713" s="180">
        <v>4.2919999999999998</v>
      </c>
    </row>
    <row r="714" spans="2:19">
      <c r="B714" s="198">
        <v>44663</v>
      </c>
      <c r="C714" s="178">
        <v>88434.4</v>
      </c>
      <c r="D714">
        <f t="shared" si="23"/>
        <v>-4.8139714780798259E-3</v>
      </c>
      <c r="E714" s="179">
        <v>35.020000000000003</v>
      </c>
      <c r="F714">
        <f t="shared" si="24"/>
        <v>-5.9608288390574637E-3</v>
      </c>
      <c r="H714" s="179"/>
      <c r="R714" s="199">
        <v>42661</v>
      </c>
      <c r="S714" s="180">
        <v>4.2919999999999998</v>
      </c>
    </row>
    <row r="715" spans="2:19">
      <c r="B715" s="198">
        <v>44664</v>
      </c>
      <c r="C715" s="178">
        <v>88851.59</v>
      </c>
      <c r="D715">
        <f t="shared" si="23"/>
        <v>4.7175081190125034E-3</v>
      </c>
      <c r="E715" s="179">
        <v>35.57</v>
      </c>
      <c r="F715">
        <f t="shared" si="24"/>
        <v>1.5705311250713727E-2</v>
      </c>
      <c r="H715" s="179"/>
      <c r="R715" s="199">
        <v>42662</v>
      </c>
      <c r="S715" s="180">
        <v>4.2919999999999998</v>
      </c>
    </row>
    <row r="716" spans="2:19">
      <c r="B716" s="198">
        <v>44665</v>
      </c>
      <c r="C716" s="178">
        <v>89430.45</v>
      </c>
      <c r="D716">
        <f t="shared" si="23"/>
        <v>6.5149087371425551E-3</v>
      </c>
      <c r="E716" s="179">
        <v>35.520000000000003</v>
      </c>
      <c r="F716">
        <f t="shared" si="24"/>
        <v>-1.4056789429293115E-3</v>
      </c>
      <c r="H716" s="179"/>
      <c r="R716" s="199">
        <v>42663</v>
      </c>
      <c r="S716" s="180">
        <v>4.2919999999999998</v>
      </c>
    </row>
    <row r="717" spans="2:19">
      <c r="B717" s="198">
        <v>44670</v>
      </c>
      <c r="C717" s="178">
        <v>89952.38</v>
      </c>
      <c r="D717">
        <f t="shared" si="23"/>
        <v>5.8361553587173987E-3</v>
      </c>
      <c r="E717" s="179">
        <v>35.5</v>
      </c>
      <c r="F717">
        <f t="shared" si="24"/>
        <v>-5.6306306306319609E-4</v>
      </c>
      <c r="H717" s="179"/>
      <c r="R717" s="199">
        <v>42664</v>
      </c>
      <c r="S717" s="180">
        <v>4.2919999999999998</v>
      </c>
    </row>
    <row r="718" spans="2:19">
      <c r="B718" s="198">
        <v>44671</v>
      </c>
      <c r="C718" s="178">
        <v>89976.09</v>
      </c>
      <c r="D718">
        <f t="shared" si="23"/>
        <v>2.6358390961966904E-4</v>
      </c>
      <c r="E718" s="179">
        <v>36.369999999999997</v>
      </c>
      <c r="F718">
        <f t="shared" si="24"/>
        <v>2.4507042253520961E-2</v>
      </c>
      <c r="H718" s="179"/>
      <c r="R718" s="199">
        <v>42667</v>
      </c>
      <c r="S718" s="180">
        <v>4.2919999999999998</v>
      </c>
    </row>
    <row r="719" spans="2:19">
      <c r="B719" s="198">
        <v>44672</v>
      </c>
      <c r="C719" s="178">
        <v>90175.88</v>
      </c>
      <c r="D719">
        <f t="shared" si="23"/>
        <v>2.2204787960891093E-3</v>
      </c>
      <c r="E719" s="179">
        <v>37.15</v>
      </c>
      <c r="F719">
        <f t="shared" si="24"/>
        <v>2.1446246906791311E-2</v>
      </c>
      <c r="H719" s="179"/>
      <c r="R719" s="199">
        <v>42668</v>
      </c>
      <c r="S719" s="180">
        <v>4.2919999999999998</v>
      </c>
    </row>
    <row r="720" spans="2:19">
      <c r="B720" s="198">
        <v>44673</v>
      </c>
      <c r="C720" s="178">
        <v>88815.71</v>
      </c>
      <c r="D720">
        <f t="shared" si="23"/>
        <v>-1.5083523443297664E-2</v>
      </c>
      <c r="E720" s="179">
        <v>36.409999999999997</v>
      </c>
      <c r="F720">
        <f t="shared" si="24"/>
        <v>-1.9919246298788718E-2</v>
      </c>
      <c r="H720" s="179"/>
      <c r="R720" s="199">
        <v>42669</v>
      </c>
      <c r="S720" s="180">
        <v>4.2919999999999998</v>
      </c>
    </row>
    <row r="721" spans="2:19">
      <c r="B721" s="198">
        <v>44677</v>
      </c>
      <c r="C721" s="178">
        <v>86938.58</v>
      </c>
      <c r="D721">
        <f t="shared" si="23"/>
        <v>-2.1135112245344922E-2</v>
      </c>
      <c r="E721" s="179">
        <v>36.69</v>
      </c>
      <c r="F721">
        <f t="shared" si="24"/>
        <v>7.6901950013732456E-3</v>
      </c>
      <c r="H721" s="179"/>
      <c r="R721" s="199">
        <v>42670</v>
      </c>
      <c r="S721" s="180">
        <v>4.2919999999999998</v>
      </c>
    </row>
    <row r="722" spans="2:19">
      <c r="B722" s="198">
        <v>44678</v>
      </c>
      <c r="C722" s="178">
        <v>86287.16</v>
      </c>
      <c r="D722">
        <f t="shared" si="23"/>
        <v>-7.4928760051060639E-3</v>
      </c>
      <c r="E722" s="179">
        <v>36.549999999999997</v>
      </c>
      <c r="F722">
        <f t="shared" si="24"/>
        <v>-3.8157536113382351E-3</v>
      </c>
      <c r="H722" s="179"/>
      <c r="R722" s="199">
        <v>42671</v>
      </c>
      <c r="S722" s="180">
        <v>4.2919999999999998</v>
      </c>
    </row>
    <row r="723" spans="2:19">
      <c r="B723" s="198">
        <v>44679</v>
      </c>
      <c r="C723" s="178">
        <v>87377.8</v>
      </c>
      <c r="D723">
        <f t="shared" si="23"/>
        <v>1.2639655772654912E-2</v>
      </c>
      <c r="E723" s="179">
        <v>36</v>
      </c>
      <c r="F723">
        <f t="shared" si="24"/>
        <v>-1.5047879616962967E-2</v>
      </c>
      <c r="H723" s="179"/>
      <c r="R723" s="199">
        <v>42674</v>
      </c>
      <c r="S723" s="180">
        <v>4.2919999999999998</v>
      </c>
    </row>
    <row r="724" spans="2:19">
      <c r="B724" s="198">
        <v>44680</v>
      </c>
      <c r="C724" s="178">
        <v>88319.8</v>
      </c>
      <c r="D724">
        <f t="shared" si="23"/>
        <v>1.0780770401635165E-2</v>
      </c>
      <c r="E724" s="179">
        <v>36.729999999999997</v>
      </c>
      <c r="F724">
        <f t="shared" si="24"/>
        <v>2.0277777777777617E-2</v>
      </c>
      <c r="H724" s="179"/>
      <c r="R724" s="199">
        <v>42675</v>
      </c>
      <c r="S724" s="180">
        <v>4.2919999999999998</v>
      </c>
    </row>
    <row r="725" spans="2:19">
      <c r="B725" s="198">
        <v>44683</v>
      </c>
      <c r="C725" s="178">
        <v>87163.25</v>
      </c>
      <c r="D725">
        <f t="shared" si="23"/>
        <v>-1.3095025124604032E-2</v>
      </c>
      <c r="E725" s="179">
        <v>36.020000000000003</v>
      </c>
      <c r="F725">
        <f t="shared" si="24"/>
        <v>-1.9330247753879481E-2</v>
      </c>
      <c r="H725" s="179"/>
      <c r="R725" s="199">
        <v>42676</v>
      </c>
      <c r="S725" s="180">
        <v>4.2919999999999998</v>
      </c>
    </row>
    <row r="726" spans="2:19">
      <c r="B726" s="198">
        <v>44684</v>
      </c>
      <c r="C726" s="178">
        <v>86751.11</v>
      </c>
      <c r="D726">
        <f t="shared" si="23"/>
        <v>-4.7283688940006341E-3</v>
      </c>
      <c r="E726" s="179">
        <v>36.049999999999997</v>
      </c>
      <c r="F726">
        <f t="shared" si="24"/>
        <v>8.3287062742898321E-4</v>
      </c>
      <c r="H726" s="179"/>
      <c r="R726" s="199">
        <v>42677</v>
      </c>
      <c r="S726" s="180">
        <v>4.2919999999999998</v>
      </c>
    </row>
    <row r="727" spans="2:19">
      <c r="B727" s="198">
        <v>44685</v>
      </c>
      <c r="C727" s="178">
        <v>86495.35</v>
      </c>
      <c r="D727">
        <f t="shared" si="23"/>
        <v>-2.9482043515062228E-3</v>
      </c>
      <c r="E727" s="179">
        <v>36.409999999999997</v>
      </c>
      <c r="F727">
        <f t="shared" si="24"/>
        <v>9.986130374479929E-3</v>
      </c>
      <c r="H727" s="179"/>
      <c r="R727" s="199">
        <v>42678</v>
      </c>
      <c r="S727" s="180">
        <v>4.2919999999999998</v>
      </c>
    </row>
    <row r="728" spans="2:19">
      <c r="B728" s="198">
        <v>44686</v>
      </c>
      <c r="C728" s="178">
        <v>87347.28</v>
      </c>
      <c r="D728">
        <f t="shared" si="23"/>
        <v>9.8494312121979455E-3</v>
      </c>
      <c r="E728" s="179">
        <v>36.47</v>
      </c>
      <c r="F728">
        <f t="shared" si="24"/>
        <v>1.6478989288657431E-3</v>
      </c>
      <c r="H728" s="179"/>
      <c r="R728" s="199">
        <v>42681</v>
      </c>
      <c r="S728" s="180">
        <v>4.2919999999999998</v>
      </c>
    </row>
    <row r="729" spans="2:19">
      <c r="B729" s="198">
        <v>44687</v>
      </c>
      <c r="C729" s="178">
        <v>85384.95</v>
      </c>
      <c r="D729">
        <f t="shared" si="23"/>
        <v>-2.2465839806345422E-2</v>
      </c>
      <c r="E729" s="179">
        <v>35.94</v>
      </c>
      <c r="F729">
        <f t="shared" si="24"/>
        <v>-1.453249245955579E-2</v>
      </c>
      <c r="H729" s="179"/>
      <c r="R729" s="199">
        <v>42682</v>
      </c>
      <c r="S729" s="180">
        <v>4.2919999999999998</v>
      </c>
    </row>
    <row r="730" spans="2:19">
      <c r="B730" s="198">
        <v>44690</v>
      </c>
      <c r="C730" s="178">
        <v>84200.89</v>
      </c>
      <c r="D730">
        <f t="shared" si="23"/>
        <v>-1.3867315024486127E-2</v>
      </c>
      <c r="E730" s="179">
        <v>35.61</v>
      </c>
      <c r="F730">
        <f t="shared" si="24"/>
        <v>-9.1819699499164908E-3</v>
      </c>
      <c r="H730" s="179"/>
      <c r="R730" s="199">
        <v>42683</v>
      </c>
      <c r="S730" s="180">
        <v>4.2919999999999998</v>
      </c>
    </row>
    <row r="731" spans="2:19">
      <c r="B731" s="198">
        <v>44691</v>
      </c>
      <c r="C731" s="178">
        <v>83368.740000000005</v>
      </c>
      <c r="D731">
        <f t="shared" si="23"/>
        <v>-9.8829121639925077E-3</v>
      </c>
      <c r="E731" s="179">
        <v>34.78</v>
      </c>
      <c r="F731">
        <f t="shared" si="24"/>
        <v>-2.3308059533838743E-2</v>
      </c>
      <c r="H731" s="179"/>
      <c r="R731" s="199">
        <v>42684</v>
      </c>
      <c r="S731" s="180">
        <v>4.2919999999999998</v>
      </c>
    </row>
    <row r="732" spans="2:19">
      <c r="B732" s="198">
        <v>44692</v>
      </c>
      <c r="C732" s="178">
        <v>83670.679999999993</v>
      </c>
      <c r="D732">
        <f t="shared" si="23"/>
        <v>3.6217411946011246E-3</v>
      </c>
      <c r="E732" s="179">
        <v>35.24</v>
      </c>
      <c r="F732">
        <f t="shared" si="24"/>
        <v>1.3225991949396221E-2</v>
      </c>
      <c r="H732" s="179"/>
      <c r="R732" s="199">
        <v>42685</v>
      </c>
      <c r="S732" s="180">
        <v>4.2919999999999998</v>
      </c>
    </row>
    <row r="733" spans="2:19">
      <c r="B733" s="198">
        <v>44693</v>
      </c>
      <c r="C733" s="178">
        <v>82093.03</v>
      </c>
      <c r="D733">
        <f t="shared" si="23"/>
        <v>-1.8855470040401223E-2</v>
      </c>
      <c r="E733" s="179">
        <v>35.18</v>
      </c>
      <c r="F733">
        <f t="shared" si="24"/>
        <v>-1.7026106696935717E-3</v>
      </c>
      <c r="H733" s="179"/>
      <c r="R733" s="199">
        <v>42688</v>
      </c>
      <c r="S733" s="180">
        <v>4.2919999999999998</v>
      </c>
    </row>
    <row r="734" spans="2:19">
      <c r="B734" s="198">
        <v>44694</v>
      </c>
      <c r="C734" s="178">
        <v>83709.34</v>
      </c>
      <c r="D734">
        <f t="shared" si="23"/>
        <v>1.9688760422169826E-2</v>
      </c>
      <c r="E734" s="179">
        <v>36.049999999999997</v>
      </c>
      <c r="F734">
        <f t="shared" si="24"/>
        <v>2.4729960204661561E-2</v>
      </c>
      <c r="H734" s="179"/>
      <c r="R734" s="199">
        <v>42689</v>
      </c>
      <c r="S734" s="180">
        <v>4.2919999999999998</v>
      </c>
    </row>
    <row r="735" spans="2:19">
      <c r="B735" s="198">
        <v>44697</v>
      </c>
      <c r="C735" s="178">
        <v>83969.47</v>
      </c>
      <c r="D735">
        <f t="shared" si="23"/>
        <v>3.1075385375156639E-3</v>
      </c>
      <c r="E735" s="179">
        <v>35.97</v>
      </c>
      <c r="F735">
        <f t="shared" si="24"/>
        <v>-2.2191400832176633E-3</v>
      </c>
      <c r="H735" s="179"/>
      <c r="R735" s="199">
        <v>42690</v>
      </c>
      <c r="S735" s="180">
        <v>4.2919999999999998</v>
      </c>
    </row>
    <row r="736" spans="2:19">
      <c r="B736" s="198">
        <v>44698</v>
      </c>
      <c r="C736" s="178">
        <v>84248.89</v>
      </c>
      <c r="D736">
        <f t="shared" si="23"/>
        <v>3.3276380093860691E-3</v>
      </c>
      <c r="E736" s="179">
        <v>35.69</v>
      </c>
      <c r="F736">
        <f t="shared" si="24"/>
        <v>-7.7842646649985969E-3</v>
      </c>
      <c r="H736" s="179"/>
      <c r="R736" s="199">
        <v>42691</v>
      </c>
      <c r="S736" s="180">
        <v>4.2919999999999998</v>
      </c>
    </row>
    <row r="737" spans="2:19">
      <c r="B737" s="198">
        <v>44699</v>
      </c>
      <c r="C737" s="178">
        <v>85120.05</v>
      </c>
      <c r="D737">
        <f t="shared" si="23"/>
        <v>1.0340314275950835E-2</v>
      </c>
      <c r="E737" s="179">
        <v>36.19</v>
      </c>
      <c r="F737">
        <f t="shared" si="24"/>
        <v>1.400952647800513E-2</v>
      </c>
      <c r="H737" s="179"/>
      <c r="R737" s="199">
        <v>42692</v>
      </c>
      <c r="S737" s="180">
        <v>4.2919999999999998</v>
      </c>
    </row>
    <row r="738" spans="2:19">
      <c r="B738" s="198">
        <v>44700</v>
      </c>
      <c r="C738" s="178">
        <v>83785.5</v>
      </c>
      <c r="D738">
        <f t="shared" si="23"/>
        <v>-1.5678444737755703E-2</v>
      </c>
      <c r="E738" s="179">
        <v>35.97</v>
      </c>
      <c r="F738">
        <f t="shared" si="24"/>
        <v>-6.0790273556230456E-3</v>
      </c>
      <c r="H738" s="179"/>
      <c r="R738" s="199">
        <v>42695</v>
      </c>
      <c r="S738" s="180">
        <v>4.2919999999999998</v>
      </c>
    </row>
    <row r="739" spans="2:19">
      <c r="B739" s="198">
        <v>44701</v>
      </c>
      <c r="C739" s="178">
        <v>84791.76</v>
      </c>
      <c r="D739">
        <f t="shared" si="23"/>
        <v>1.20099539896521E-2</v>
      </c>
      <c r="E739" s="179">
        <v>36.47</v>
      </c>
      <c r="F739">
        <f t="shared" si="24"/>
        <v>1.3900472616068971E-2</v>
      </c>
      <c r="H739" s="179"/>
      <c r="R739" s="199">
        <v>42696</v>
      </c>
      <c r="S739" s="180">
        <v>4.2919999999999998</v>
      </c>
    </row>
    <row r="740" spans="2:19">
      <c r="B740" s="198">
        <v>44704</v>
      </c>
      <c r="C740" s="178">
        <v>84881.64</v>
      </c>
      <c r="D740">
        <f t="shared" si="23"/>
        <v>1.0600086612189141E-3</v>
      </c>
      <c r="E740" s="179">
        <v>36.75</v>
      </c>
      <c r="F740">
        <f t="shared" si="24"/>
        <v>7.6775431861804133E-3</v>
      </c>
      <c r="H740" s="179"/>
      <c r="R740" s="199">
        <v>42697</v>
      </c>
      <c r="S740" s="180">
        <v>4.2919999999999998</v>
      </c>
    </row>
    <row r="741" spans="2:19">
      <c r="B741" s="198">
        <v>44705</v>
      </c>
      <c r="C741" s="178">
        <v>84594.26</v>
      </c>
      <c r="D741">
        <f t="shared" si="23"/>
        <v>-3.3856556023187379E-3</v>
      </c>
      <c r="E741" s="179">
        <v>36.520000000000003</v>
      </c>
      <c r="F741">
        <f t="shared" si="24"/>
        <v>-6.2585034013604712E-3</v>
      </c>
      <c r="H741" s="179"/>
      <c r="R741" s="199">
        <v>42698</v>
      </c>
      <c r="S741" s="180">
        <v>4.2919999999999998</v>
      </c>
    </row>
    <row r="742" spans="2:19">
      <c r="B742" s="198">
        <v>44706</v>
      </c>
      <c r="C742" s="178">
        <v>84806.58</v>
      </c>
      <c r="D742">
        <f t="shared" si="23"/>
        <v>2.5098629623334645E-3</v>
      </c>
      <c r="E742" s="179">
        <v>36.6</v>
      </c>
      <c r="F742">
        <f t="shared" si="24"/>
        <v>2.1905805038333614E-3</v>
      </c>
      <c r="H742" s="179"/>
      <c r="R742" s="199">
        <v>42699</v>
      </c>
      <c r="S742" s="180">
        <v>4.2919999999999998</v>
      </c>
    </row>
    <row r="743" spans="2:19">
      <c r="B743" s="198">
        <v>44707</v>
      </c>
      <c r="C743" s="178">
        <v>84220.11</v>
      </c>
      <c r="D743">
        <f t="shared" si="23"/>
        <v>-6.9153832167268003E-3</v>
      </c>
      <c r="E743" s="179">
        <v>36.29</v>
      </c>
      <c r="F743">
        <f t="shared" si="24"/>
        <v>-8.4699453551912995E-3</v>
      </c>
      <c r="H743" s="179"/>
      <c r="R743" s="199">
        <v>42702</v>
      </c>
      <c r="S743" s="180">
        <v>4.2919999999999998</v>
      </c>
    </row>
    <row r="744" spans="2:19">
      <c r="B744" s="198">
        <v>44708</v>
      </c>
      <c r="C744" s="178">
        <v>85069.98</v>
      </c>
      <c r="D744">
        <f t="shared" si="23"/>
        <v>1.0091057824550331E-2</v>
      </c>
      <c r="E744" s="179">
        <v>36.51</v>
      </c>
      <c r="F744">
        <f t="shared" si="24"/>
        <v>6.0622761091209121E-3</v>
      </c>
      <c r="H744" s="179"/>
      <c r="R744" s="199">
        <v>42703</v>
      </c>
      <c r="S744" s="180">
        <v>4.2919999999999998</v>
      </c>
    </row>
    <row r="745" spans="2:19">
      <c r="B745" s="198">
        <v>44711</v>
      </c>
      <c r="C745" s="178">
        <v>86328.06</v>
      </c>
      <c r="D745">
        <f t="shared" si="23"/>
        <v>1.4788765672685056E-2</v>
      </c>
      <c r="E745" s="179">
        <v>37.119999999999997</v>
      </c>
      <c r="F745">
        <f t="shared" si="24"/>
        <v>1.6707751301013429E-2</v>
      </c>
      <c r="H745" s="179"/>
      <c r="R745" s="199">
        <v>42704</v>
      </c>
      <c r="S745" s="180">
        <v>4.2919999999999998</v>
      </c>
    </row>
    <row r="746" spans="2:19">
      <c r="B746" s="198">
        <v>44712</v>
      </c>
      <c r="C746" s="178">
        <v>85556.89</v>
      </c>
      <c r="D746">
        <f t="shared" si="23"/>
        <v>-8.9330166807871647E-3</v>
      </c>
      <c r="E746" s="179">
        <v>36.659999999999997</v>
      </c>
      <c r="F746">
        <f t="shared" si="24"/>
        <v>-1.2392241379310387E-2</v>
      </c>
      <c r="H746" s="179"/>
      <c r="R746" s="199">
        <v>42705</v>
      </c>
      <c r="S746" s="180">
        <v>4.2919999999999998</v>
      </c>
    </row>
    <row r="747" spans="2:19">
      <c r="B747" s="198">
        <v>44713</v>
      </c>
      <c r="C747" s="178">
        <v>85644.79</v>
      </c>
      <c r="D747">
        <f t="shared" si="23"/>
        <v>1.0273865728405163E-3</v>
      </c>
      <c r="E747" s="179">
        <v>36.619999999999997</v>
      </c>
      <c r="F747">
        <f t="shared" si="24"/>
        <v>-1.0911074740861393E-3</v>
      </c>
      <c r="H747" s="179"/>
      <c r="R747" s="199">
        <v>42706</v>
      </c>
      <c r="S747" s="180">
        <v>4.2919999999999998</v>
      </c>
    </row>
    <row r="748" spans="2:19">
      <c r="B748" s="198">
        <v>44714</v>
      </c>
      <c r="C748" s="178">
        <v>84932.66</v>
      </c>
      <c r="D748">
        <f t="shared" si="23"/>
        <v>-8.3149249358891453E-3</v>
      </c>
      <c r="E748" s="179">
        <v>35.74</v>
      </c>
      <c r="F748">
        <f t="shared" si="24"/>
        <v>-2.4030584380120068E-2</v>
      </c>
      <c r="H748" s="179"/>
      <c r="R748" s="199">
        <v>42709</v>
      </c>
      <c r="S748" s="180">
        <v>4.2919999999999998</v>
      </c>
    </row>
    <row r="749" spans="2:19">
      <c r="B749" s="198">
        <v>44715</v>
      </c>
      <c r="C749" s="178">
        <v>85755.34</v>
      </c>
      <c r="D749">
        <f t="shared" si="23"/>
        <v>9.6862620339452921E-3</v>
      </c>
      <c r="E749" s="179">
        <v>35.64</v>
      </c>
      <c r="F749">
        <f t="shared" si="24"/>
        <v>-2.7979854504757151E-3</v>
      </c>
      <c r="H749" s="179"/>
      <c r="R749" s="199">
        <v>42710</v>
      </c>
      <c r="S749" s="180">
        <v>4.2919999999999998</v>
      </c>
    </row>
    <row r="750" spans="2:19">
      <c r="B750" s="198">
        <v>44718</v>
      </c>
      <c r="C750" s="178">
        <v>85315.43</v>
      </c>
      <c r="D750">
        <f t="shared" si="23"/>
        <v>-5.1298263175214576E-3</v>
      </c>
      <c r="E750" s="179">
        <v>34.78</v>
      </c>
      <c r="F750">
        <f t="shared" si="24"/>
        <v>-2.4130190796857409E-2</v>
      </c>
      <c r="H750" s="179"/>
      <c r="R750" s="199">
        <v>42711</v>
      </c>
      <c r="S750" s="180">
        <v>4.2919999999999998</v>
      </c>
    </row>
    <row r="751" spans="2:19">
      <c r="B751" s="198">
        <v>44719</v>
      </c>
      <c r="C751" s="178">
        <v>84000.92</v>
      </c>
      <c r="D751">
        <f t="shared" si="23"/>
        <v>-1.5407646658992302E-2</v>
      </c>
      <c r="E751" s="179">
        <v>34</v>
      </c>
      <c r="F751">
        <f t="shared" si="24"/>
        <v>-2.2426682001150167E-2</v>
      </c>
      <c r="H751" s="179"/>
      <c r="R751" s="199">
        <v>42712</v>
      </c>
      <c r="S751" s="180">
        <v>4.2919999999999998</v>
      </c>
    </row>
    <row r="752" spans="2:19">
      <c r="B752" s="198">
        <v>44720</v>
      </c>
      <c r="C752" s="178">
        <v>84327.51</v>
      </c>
      <c r="D752">
        <f t="shared" si="23"/>
        <v>3.8879336083461613E-3</v>
      </c>
      <c r="E752" s="179">
        <v>34.770000000000003</v>
      </c>
      <c r="F752">
        <f t="shared" si="24"/>
        <v>2.2647058823529465E-2</v>
      </c>
      <c r="H752" s="179"/>
      <c r="R752" s="199">
        <v>42713</v>
      </c>
      <c r="S752" s="180">
        <v>4.2919999999999998</v>
      </c>
    </row>
    <row r="753" spans="2:19">
      <c r="B753" s="198">
        <v>44721</v>
      </c>
      <c r="C753" s="178">
        <v>83103.600000000006</v>
      </c>
      <c r="D753">
        <f t="shared" si="23"/>
        <v>-1.4513768994246279E-2</v>
      </c>
      <c r="E753" s="179">
        <v>34.18</v>
      </c>
      <c r="F753">
        <f t="shared" si="24"/>
        <v>-1.6968651136036961E-2</v>
      </c>
      <c r="H753" s="179"/>
      <c r="R753" s="199">
        <v>42716</v>
      </c>
      <c r="S753" s="180">
        <v>4.2919999999999998</v>
      </c>
    </row>
    <row r="754" spans="2:19">
      <c r="B754" s="198">
        <v>44722</v>
      </c>
      <c r="C754" s="178">
        <v>82010.47</v>
      </c>
      <c r="D754">
        <f t="shared" si="23"/>
        <v>-1.3153822457751541E-2</v>
      </c>
      <c r="E754" s="179">
        <v>33.74</v>
      </c>
      <c r="F754">
        <f t="shared" si="24"/>
        <v>-1.287302516091271E-2</v>
      </c>
      <c r="H754" s="179"/>
      <c r="R754" s="199">
        <v>42717</v>
      </c>
      <c r="S754" s="180">
        <v>4.2919999999999998</v>
      </c>
    </row>
    <row r="755" spans="2:19">
      <c r="B755" s="198">
        <v>44726</v>
      </c>
      <c r="C755" s="178">
        <v>78981.05</v>
      </c>
      <c r="D755">
        <f t="shared" si="23"/>
        <v>-3.6939429806950197E-2</v>
      </c>
      <c r="E755" s="179">
        <v>33.32</v>
      </c>
      <c r="F755">
        <f t="shared" si="24"/>
        <v>-1.2448132780083054E-2</v>
      </c>
      <c r="H755" s="179"/>
      <c r="R755" s="199">
        <v>42718</v>
      </c>
      <c r="S755" s="180">
        <v>4.2919999999999998</v>
      </c>
    </row>
    <row r="756" spans="2:19">
      <c r="B756" s="198">
        <v>44727</v>
      </c>
      <c r="C756" s="178">
        <v>77885.509999999995</v>
      </c>
      <c r="D756">
        <f t="shared" si="23"/>
        <v>-1.3870922202224523E-2</v>
      </c>
      <c r="E756" s="179">
        <v>32.76</v>
      </c>
      <c r="F756">
        <f t="shared" si="24"/>
        <v>-1.6806722689075682E-2</v>
      </c>
      <c r="H756" s="179"/>
      <c r="R756" s="199">
        <v>42719</v>
      </c>
      <c r="S756" s="180">
        <v>4.2919999999999998</v>
      </c>
    </row>
    <row r="757" spans="2:19">
      <c r="B757" s="198">
        <v>44728</v>
      </c>
      <c r="C757" s="178">
        <v>77861.820000000007</v>
      </c>
      <c r="D757">
        <f t="shared" si="23"/>
        <v>-3.0416440747438322E-4</v>
      </c>
      <c r="E757" s="179">
        <v>32.79</v>
      </c>
      <c r="F757">
        <f t="shared" si="24"/>
        <v>9.157509157509125E-4</v>
      </c>
      <c r="H757" s="179"/>
      <c r="R757" s="199">
        <v>42720</v>
      </c>
      <c r="S757" s="180">
        <v>4.2919999999999998</v>
      </c>
    </row>
    <row r="758" spans="2:19">
      <c r="B758" s="198">
        <v>44729</v>
      </c>
      <c r="C758" s="178">
        <v>76479.820000000007</v>
      </c>
      <c r="D758">
        <f t="shared" si="23"/>
        <v>-1.7749392449341705E-2</v>
      </c>
      <c r="E758" s="179">
        <v>32.54</v>
      </c>
      <c r="F758">
        <f t="shared" si="24"/>
        <v>-7.6242756938090794E-3</v>
      </c>
      <c r="H758" s="179"/>
      <c r="R758" s="199">
        <v>42723</v>
      </c>
      <c r="S758" s="180">
        <v>4.2919999999999998</v>
      </c>
    </row>
    <row r="759" spans="2:19">
      <c r="B759" s="198">
        <v>44732</v>
      </c>
      <c r="C759" s="178">
        <v>75861.98</v>
      </c>
      <c r="D759">
        <f t="shared" si="23"/>
        <v>-8.0784708959829032E-3</v>
      </c>
      <c r="E759" s="179">
        <v>33.299999999999997</v>
      </c>
      <c r="F759">
        <f t="shared" si="24"/>
        <v>2.3355869698832077E-2</v>
      </c>
      <c r="H759" s="179"/>
      <c r="R759" s="199">
        <v>42724</v>
      </c>
      <c r="S759" s="180">
        <v>4.2919999999999998</v>
      </c>
    </row>
    <row r="760" spans="2:19">
      <c r="B760" s="198">
        <v>44733</v>
      </c>
      <c r="C760" s="178">
        <v>76912.89</v>
      </c>
      <c r="D760">
        <f t="shared" si="23"/>
        <v>1.3852920791152634E-2</v>
      </c>
      <c r="E760" s="179">
        <v>32.6</v>
      </c>
      <c r="F760">
        <f t="shared" si="24"/>
        <v>-2.102102102102088E-2</v>
      </c>
      <c r="H760" s="179"/>
      <c r="R760" s="199">
        <v>42725</v>
      </c>
      <c r="S760" s="180">
        <v>4.2919999999999998</v>
      </c>
    </row>
    <row r="761" spans="2:19">
      <c r="B761" s="198">
        <v>44734</v>
      </c>
      <c r="C761" s="178">
        <v>76702</v>
      </c>
      <c r="D761">
        <f t="shared" si="23"/>
        <v>-2.741933114202344E-3</v>
      </c>
      <c r="E761" s="179">
        <v>32.17</v>
      </c>
      <c r="F761">
        <f t="shared" si="24"/>
        <v>-1.3190184049079789E-2</v>
      </c>
      <c r="H761" s="179"/>
      <c r="R761" s="199">
        <v>42726</v>
      </c>
      <c r="S761" s="180">
        <v>4.2919999999999998</v>
      </c>
    </row>
    <row r="762" spans="2:19">
      <c r="B762" s="198">
        <v>44735</v>
      </c>
      <c r="C762" s="178">
        <v>76805.789999999994</v>
      </c>
      <c r="D762">
        <f t="shared" si="23"/>
        <v>1.3531589789053111E-3</v>
      </c>
      <c r="E762" s="179">
        <v>33</v>
      </c>
      <c r="F762">
        <f t="shared" si="24"/>
        <v>2.5800435188063409E-2</v>
      </c>
      <c r="H762" s="179"/>
      <c r="R762" s="199">
        <v>42727</v>
      </c>
      <c r="S762" s="180">
        <v>4.2919999999999998</v>
      </c>
    </row>
    <row r="763" spans="2:19">
      <c r="B763" s="198">
        <v>44736</v>
      </c>
      <c r="C763" s="178">
        <v>77620.91</v>
      </c>
      <c r="D763">
        <f t="shared" si="23"/>
        <v>1.0612741565447115E-2</v>
      </c>
      <c r="E763" s="179">
        <v>33.31</v>
      </c>
      <c r="F763">
        <f t="shared" si="24"/>
        <v>9.3939393939395099E-3</v>
      </c>
      <c r="H763" s="179"/>
      <c r="R763" s="199">
        <v>42732</v>
      </c>
      <c r="S763" s="180">
        <v>4.2919999999999998</v>
      </c>
    </row>
    <row r="764" spans="2:19">
      <c r="B764" s="198">
        <v>44739</v>
      </c>
      <c r="C764" s="178">
        <v>79126.86</v>
      </c>
      <c r="D764">
        <f t="shared" si="23"/>
        <v>1.9401344302714341E-2</v>
      </c>
      <c r="E764" s="179">
        <v>33.07</v>
      </c>
      <c r="F764">
        <f t="shared" si="24"/>
        <v>-7.2050435304713556E-3</v>
      </c>
      <c r="H764" s="179"/>
      <c r="R764" s="199">
        <v>42733</v>
      </c>
      <c r="S764" s="180">
        <v>4.2919999999999998</v>
      </c>
    </row>
    <row r="765" spans="2:19">
      <c r="B765" s="198">
        <v>44740</v>
      </c>
      <c r="C765" s="178">
        <v>79814.53</v>
      </c>
      <c r="D765">
        <f t="shared" si="23"/>
        <v>8.6907277756251844E-3</v>
      </c>
      <c r="E765" s="179">
        <v>33.15</v>
      </c>
      <c r="F765">
        <f t="shared" si="24"/>
        <v>2.419110976715988E-3</v>
      </c>
      <c r="H765" s="179"/>
      <c r="R765" s="199">
        <v>42734</v>
      </c>
      <c r="S765" s="180">
        <v>4.2919999999999998</v>
      </c>
    </row>
    <row r="766" spans="2:19">
      <c r="B766" s="198">
        <v>44741</v>
      </c>
      <c r="C766" s="178">
        <v>79058.320000000007</v>
      </c>
      <c r="D766">
        <f t="shared" si="23"/>
        <v>-9.4745906541076064E-3</v>
      </c>
      <c r="E766" s="179">
        <v>32.83</v>
      </c>
      <c r="F766">
        <f t="shared" si="24"/>
        <v>-9.6530920060331482E-3</v>
      </c>
      <c r="H766" s="179"/>
      <c r="R766" s="199">
        <v>42738</v>
      </c>
      <c r="S766" s="180">
        <v>4.2919999999999998</v>
      </c>
    </row>
    <row r="767" spans="2:19">
      <c r="B767" s="198">
        <v>44742</v>
      </c>
      <c r="C767" s="178">
        <v>77550.91</v>
      </c>
      <c r="D767">
        <f t="shared" si="23"/>
        <v>-1.9067063403320539E-2</v>
      </c>
      <c r="E767" s="179">
        <v>33.01</v>
      </c>
      <c r="F767">
        <f t="shared" si="24"/>
        <v>5.4827901309777438E-3</v>
      </c>
      <c r="H767" s="179"/>
      <c r="R767" s="199">
        <v>42739</v>
      </c>
      <c r="S767" s="180">
        <v>4.2919999999999998</v>
      </c>
    </row>
    <row r="768" spans="2:19">
      <c r="B768" s="198">
        <v>44743</v>
      </c>
      <c r="C768" s="178">
        <v>77251.48</v>
      </c>
      <c r="D768">
        <f t="shared" si="23"/>
        <v>-3.8610765495853405E-3</v>
      </c>
      <c r="E768" s="179">
        <v>32.94</v>
      </c>
      <c r="F768">
        <f t="shared" si="24"/>
        <v>-2.1205695243865508E-3</v>
      </c>
      <c r="H768" s="179"/>
      <c r="R768" s="199">
        <v>42740</v>
      </c>
      <c r="S768" s="180">
        <v>4.2919999999999998</v>
      </c>
    </row>
    <row r="769" spans="2:19">
      <c r="B769" s="198">
        <v>44746</v>
      </c>
      <c r="C769" s="178">
        <v>78130.89</v>
      </c>
      <c r="D769">
        <f t="shared" si="23"/>
        <v>1.1383730124005398E-2</v>
      </c>
      <c r="E769" s="179">
        <v>33.369999999999997</v>
      </c>
      <c r="F769">
        <f t="shared" si="24"/>
        <v>1.3054037644201655E-2</v>
      </c>
      <c r="H769" s="179"/>
      <c r="R769" s="199">
        <v>42741</v>
      </c>
      <c r="S769" s="180">
        <v>4.2919999999999998</v>
      </c>
    </row>
    <row r="770" spans="2:19">
      <c r="B770" s="198">
        <v>44747</v>
      </c>
      <c r="C770" s="178">
        <v>78374.06</v>
      </c>
      <c r="D770">
        <f t="shared" si="23"/>
        <v>3.1123413543605594E-3</v>
      </c>
      <c r="E770" s="179">
        <v>33.520000000000003</v>
      </c>
      <c r="F770">
        <f t="shared" si="24"/>
        <v>4.4950554390172925E-3</v>
      </c>
      <c r="H770" s="179"/>
      <c r="R770" s="199">
        <v>42744</v>
      </c>
      <c r="S770" s="180">
        <v>4.2919999999999998</v>
      </c>
    </row>
    <row r="771" spans="2:19">
      <c r="B771" s="198">
        <v>44748</v>
      </c>
      <c r="C771" s="178">
        <v>77986.960000000006</v>
      </c>
      <c r="D771">
        <f t="shared" si="23"/>
        <v>-4.9391341982282233E-3</v>
      </c>
      <c r="E771" s="179">
        <v>33.380000000000003</v>
      </c>
      <c r="F771">
        <f t="shared" si="24"/>
        <v>-4.1766109785202898E-3</v>
      </c>
      <c r="H771" s="179"/>
      <c r="R771" s="199">
        <v>42745</v>
      </c>
      <c r="S771" s="180">
        <v>4.2919999999999998</v>
      </c>
    </row>
    <row r="772" spans="2:19">
      <c r="B772" s="198">
        <v>44749</v>
      </c>
      <c r="C772" s="178">
        <v>78591.47</v>
      </c>
      <c r="D772">
        <f t="shared" si="23"/>
        <v>7.7514240842313509E-3</v>
      </c>
      <c r="E772" s="179">
        <v>33.229999999999997</v>
      </c>
      <c r="F772">
        <f t="shared" si="24"/>
        <v>-4.4937088076694165E-3</v>
      </c>
      <c r="H772" s="179"/>
      <c r="R772" s="199">
        <v>42746</v>
      </c>
      <c r="S772" s="180">
        <v>4.2919999999999998</v>
      </c>
    </row>
    <row r="773" spans="2:19">
      <c r="B773" s="198">
        <v>44750</v>
      </c>
      <c r="C773" s="178">
        <v>79052.59</v>
      </c>
      <c r="D773">
        <f t="shared" si="23"/>
        <v>5.867303410917124E-3</v>
      </c>
      <c r="E773" s="179">
        <v>33.299999999999997</v>
      </c>
      <c r="F773">
        <f t="shared" si="24"/>
        <v>2.1065302437557332E-3</v>
      </c>
      <c r="H773" s="179"/>
      <c r="R773" s="199">
        <v>42747</v>
      </c>
      <c r="S773" s="180">
        <v>4.2919999999999998</v>
      </c>
    </row>
    <row r="774" spans="2:19">
      <c r="B774" s="198">
        <v>44753</v>
      </c>
      <c r="C774" s="178">
        <v>78082.17</v>
      </c>
      <c r="D774">
        <f t="shared" si="23"/>
        <v>-1.2275625630988163E-2</v>
      </c>
      <c r="E774" s="179">
        <v>33.65</v>
      </c>
      <c r="F774">
        <f t="shared" si="24"/>
        <v>1.0510510510510551E-2</v>
      </c>
      <c r="H774" s="179"/>
      <c r="R774" s="199">
        <v>42748</v>
      </c>
      <c r="S774" s="180">
        <v>4.2919999999999998</v>
      </c>
    </row>
    <row r="775" spans="2:19">
      <c r="B775" s="198">
        <v>44754</v>
      </c>
      <c r="C775" s="178">
        <v>78020.160000000003</v>
      </c>
      <c r="D775">
        <f t="shared" si="23"/>
        <v>-7.9416337942450621E-4</v>
      </c>
      <c r="E775" s="179">
        <v>33.6</v>
      </c>
      <c r="F775">
        <f t="shared" si="24"/>
        <v>-1.4858841010400026E-3</v>
      </c>
      <c r="H775" s="179"/>
      <c r="R775" s="199">
        <v>42751</v>
      </c>
      <c r="S775" s="180">
        <v>4.2919999999999998</v>
      </c>
    </row>
    <row r="776" spans="2:19">
      <c r="B776" s="198">
        <v>44755</v>
      </c>
      <c r="C776" s="178">
        <v>78261.64</v>
      </c>
      <c r="D776">
        <f t="shared" ref="D776:D839" si="25">(C776/C775)-1</f>
        <v>3.0950974722430136E-3</v>
      </c>
      <c r="E776" s="179">
        <v>33.46</v>
      </c>
      <c r="F776">
        <f t="shared" ref="F776:F839" si="26">(E776/E775)-1</f>
        <v>-4.1666666666666519E-3</v>
      </c>
      <c r="H776" s="179"/>
      <c r="R776" s="199">
        <v>42752</v>
      </c>
      <c r="S776" s="180">
        <v>4.2919999999999998</v>
      </c>
    </row>
    <row r="777" spans="2:19">
      <c r="B777" s="198">
        <v>44756</v>
      </c>
      <c r="C777" s="178">
        <v>78730.69</v>
      </c>
      <c r="D777">
        <f t="shared" si="25"/>
        <v>5.9933576653901088E-3</v>
      </c>
      <c r="E777" s="179">
        <v>33.46</v>
      </c>
      <c r="F777">
        <f t="shared" si="26"/>
        <v>0</v>
      </c>
      <c r="H777" s="179"/>
      <c r="R777" s="199">
        <v>42753</v>
      </c>
      <c r="S777" s="180">
        <v>4.2919999999999998</v>
      </c>
    </row>
    <row r="778" spans="2:19">
      <c r="B778" s="198">
        <v>44757</v>
      </c>
      <c r="C778" s="178">
        <v>78148.179999999993</v>
      </c>
      <c r="D778">
        <f t="shared" si="25"/>
        <v>-7.3987666055004286E-3</v>
      </c>
      <c r="E778" s="179">
        <v>33.950000000000003</v>
      </c>
      <c r="F778">
        <f t="shared" si="26"/>
        <v>1.4644351464435212E-2</v>
      </c>
      <c r="H778" s="179"/>
      <c r="R778" s="199">
        <v>42754</v>
      </c>
      <c r="S778" s="180">
        <v>4.2919999999999998</v>
      </c>
    </row>
    <row r="779" spans="2:19">
      <c r="B779" s="198">
        <v>44760</v>
      </c>
      <c r="C779" s="178">
        <v>79182.83</v>
      </c>
      <c r="D779">
        <f t="shared" si="25"/>
        <v>1.3239591760166425E-2</v>
      </c>
      <c r="E779" s="179">
        <v>34.200000000000003</v>
      </c>
      <c r="F779">
        <f t="shared" si="26"/>
        <v>7.3637702503681624E-3</v>
      </c>
      <c r="H779" s="179"/>
      <c r="R779" s="199">
        <v>42755</v>
      </c>
      <c r="S779" s="180">
        <v>4.2919999999999998</v>
      </c>
    </row>
    <row r="780" spans="2:19">
      <c r="B780" s="198">
        <v>44761</v>
      </c>
      <c r="C780" s="178">
        <v>78780.45</v>
      </c>
      <c r="D780">
        <f t="shared" si="25"/>
        <v>-5.0816572229106516E-3</v>
      </c>
      <c r="E780" s="179">
        <v>32.950000000000003</v>
      </c>
      <c r="F780">
        <f t="shared" si="26"/>
        <v>-3.6549707602339221E-2</v>
      </c>
      <c r="H780" s="179"/>
      <c r="R780" s="199">
        <v>42758</v>
      </c>
      <c r="S780" s="180">
        <v>4.2919999999999998</v>
      </c>
    </row>
    <row r="781" spans="2:19">
      <c r="B781" s="198">
        <v>44762</v>
      </c>
      <c r="C781" s="178">
        <v>80185.73</v>
      </c>
      <c r="D781">
        <f t="shared" si="25"/>
        <v>1.7837928064640352E-2</v>
      </c>
      <c r="E781" s="179">
        <v>33.64</v>
      </c>
      <c r="F781">
        <f t="shared" si="26"/>
        <v>2.0940819423368673E-2</v>
      </c>
      <c r="H781" s="179"/>
      <c r="R781" s="199">
        <v>42759</v>
      </c>
      <c r="S781" s="180">
        <v>4.2919999999999998</v>
      </c>
    </row>
    <row r="782" spans="2:19">
      <c r="B782" s="198">
        <v>44763</v>
      </c>
      <c r="C782" s="178">
        <v>80682.14</v>
      </c>
      <c r="D782">
        <f t="shared" si="25"/>
        <v>6.1907523944721987E-3</v>
      </c>
      <c r="E782" s="179">
        <v>34.39</v>
      </c>
      <c r="F782">
        <f t="shared" si="26"/>
        <v>2.2294887039238986E-2</v>
      </c>
      <c r="H782" s="179"/>
      <c r="R782" s="199">
        <v>42760</v>
      </c>
      <c r="S782" s="180">
        <v>4.2919999999999998</v>
      </c>
    </row>
    <row r="783" spans="2:19">
      <c r="B783" s="198">
        <v>44764</v>
      </c>
      <c r="C783" s="178">
        <v>80606.070000000007</v>
      </c>
      <c r="D783">
        <f t="shared" si="25"/>
        <v>-9.4283567590036643E-4</v>
      </c>
      <c r="E783" s="179">
        <v>34.75</v>
      </c>
      <c r="F783">
        <f t="shared" si="26"/>
        <v>1.0468159348647754E-2</v>
      </c>
      <c r="H783" s="179"/>
      <c r="R783" s="199">
        <v>42762</v>
      </c>
      <c r="S783" s="180">
        <v>4.2919999999999998</v>
      </c>
    </row>
    <row r="784" spans="2:19">
      <c r="B784" s="198">
        <v>44767</v>
      </c>
      <c r="C784" s="178">
        <v>80543.820000000007</v>
      </c>
      <c r="D784">
        <f t="shared" si="25"/>
        <v>-7.7227434608828638E-4</v>
      </c>
      <c r="E784" s="179">
        <v>34.450000000000003</v>
      </c>
      <c r="F784">
        <f t="shared" si="26"/>
        <v>-8.6330935251798246E-3</v>
      </c>
      <c r="H784" s="179"/>
      <c r="R784" s="199">
        <v>42765</v>
      </c>
      <c r="S784" s="180">
        <v>4.2919999999999998</v>
      </c>
    </row>
    <row r="785" spans="2:19">
      <c r="B785" s="198">
        <v>44768</v>
      </c>
      <c r="C785" s="178">
        <v>80760.34</v>
      </c>
      <c r="D785">
        <f t="shared" si="25"/>
        <v>2.688226110954206E-3</v>
      </c>
      <c r="E785" s="179">
        <v>33.950000000000003</v>
      </c>
      <c r="F785">
        <f t="shared" si="26"/>
        <v>-1.4513788098693747E-2</v>
      </c>
      <c r="H785" s="179"/>
      <c r="R785" s="199">
        <v>42766</v>
      </c>
      <c r="S785" s="180">
        <v>4.2919999999999998</v>
      </c>
    </row>
    <row r="786" spans="2:19">
      <c r="B786" s="198">
        <v>44769</v>
      </c>
      <c r="C786" s="178">
        <v>80908.3</v>
      </c>
      <c r="D786">
        <f t="shared" si="25"/>
        <v>1.8320873834856144E-3</v>
      </c>
      <c r="E786" s="179">
        <v>33.75</v>
      </c>
      <c r="F786">
        <f t="shared" si="26"/>
        <v>-5.8910162002946409E-3</v>
      </c>
      <c r="H786" s="179"/>
      <c r="R786" s="199">
        <v>42767</v>
      </c>
      <c r="S786" s="180">
        <v>4.2919999999999998</v>
      </c>
    </row>
    <row r="787" spans="2:19">
      <c r="B787" s="198">
        <v>44770</v>
      </c>
      <c r="C787" s="178">
        <v>81803.83</v>
      </c>
      <c r="D787">
        <f t="shared" si="25"/>
        <v>1.1068456511878155E-2</v>
      </c>
      <c r="E787" s="179">
        <v>33.51</v>
      </c>
      <c r="F787">
        <f t="shared" si="26"/>
        <v>-7.1111111111111791E-3</v>
      </c>
      <c r="H787" s="179"/>
      <c r="R787" s="199">
        <v>42768</v>
      </c>
      <c r="S787" s="180">
        <v>4.2919999999999998</v>
      </c>
    </row>
    <row r="788" spans="2:19">
      <c r="B788" s="198">
        <v>44771</v>
      </c>
      <c r="C788" s="178">
        <v>82468.649999999994</v>
      </c>
      <c r="D788">
        <f t="shared" si="25"/>
        <v>8.1270033444642564E-3</v>
      </c>
      <c r="E788" s="179">
        <v>34.270000000000003</v>
      </c>
      <c r="F788">
        <f t="shared" si="26"/>
        <v>2.2679797075499941E-2</v>
      </c>
      <c r="H788" s="179"/>
      <c r="R788" s="199">
        <v>42769</v>
      </c>
      <c r="S788" s="180">
        <v>4.2919999999999998</v>
      </c>
    </row>
    <row r="789" spans="2:19">
      <c r="B789" s="198">
        <v>44774</v>
      </c>
      <c r="C789" s="178">
        <v>82919.38</v>
      </c>
      <c r="D789">
        <f t="shared" si="25"/>
        <v>5.4654708183050627E-3</v>
      </c>
      <c r="E789" s="179">
        <v>35.4</v>
      </c>
      <c r="F789">
        <f t="shared" si="26"/>
        <v>3.2973446162824382E-2</v>
      </c>
      <c r="H789" s="179"/>
      <c r="R789" s="199">
        <v>42772</v>
      </c>
      <c r="S789" s="180">
        <v>4.2919999999999998</v>
      </c>
    </row>
    <row r="790" spans="2:19">
      <c r="B790" s="198">
        <v>44775</v>
      </c>
      <c r="C790" s="178">
        <v>82958.69</v>
      </c>
      <c r="D790">
        <f t="shared" si="25"/>
        <v>4.7407493881412854E-4</v>
      </c>
      <c r="E790" s="179">
        <v>35.340000000000003</v>
      </c>
      <c r="F790">
        <f t="shared" si="26"/>
        <v>-1.6949152542371504E-3</v>
      </c>
      <c r="H790" s="179"/>
      <c r="R790" s="199">
        <v>42773</v>
      </c>
      <c r="S790" s="180">
        <v>4.2919999999999998</v>
      </c>
    </row>
    <row r="791" spans="2:19">
      <c r="B791" s="198">
        <v>44776</v>
      </c>
      <c r="C791" s="178">
        <v>82803.539999999994</v>
      </c>
      <c r="D791">
        <f t="shared" si="25"/>
        <v>-1.8702079312005182E-3</v>
      </c>
      <c r="E791" s="179">
        <v>34.82</v>
      </c>
      <c r="F791">
        <f t="shared" si="26"/>
        <v>-1.4714204867006364E-2</v>
      </c>
      <c r="H791" s="179"/>
      <c r="R791" s="199">
        <v>42774</v>
      </c>
      <c r="S791" s="180">
        <v>4.2919999999999998</v>
      </c>
    </row>
    <row r="792" spans="2:19">
      <c r="B792" s="198">
        <v>44777</v>
      </c>
      <c r="C792" s="178">
        <v>82856.62</v>
      </c>
      <c r="D792">
        <f t="shared" si="25"/>
        <v>6.410353953465453E-4</v>
      </c>
      <c r="E792" s="179">
        <v>34.82</v>
      </c>
      <c r="F792">
        <f t="shared" si="26"/>
        <v>0</v>
      </c>
      <c r="H792" s="179"/>
      <c r="R792" s="199">
        <v>42775</v>
      </c>
      <c r="S792" s="180">
        <v>4.2919999999999998</v>
      </c>
    </row>
    <row r="793" spans="2:19">
      <c r="B793" s="198">
        <v>44778</v>
      </c>
      <c r="C793" s="178">
        <v>83349.2</v>
      </c>
      <c r="D793">
        <f t="shared" si="25"/>
        <v>5.9449685492842796E-3</v>
      </c>
      <c r="E793" s="179">
        <v>35.6</v>
      </c>
      <c r="F793">
        <f t="shared" si="26"/>
        <v>2.2400919012061982E-2</v>
      </c>
      <c r="H793" s="179"/>
      <c r="R793" s="199">
        <v>42776</v>
      </c>
      <c r="S793" s="180">
        <v>4.2919999999999998</v>
      </c>
    </row>
    <row r="794" spans="2:19">
      <c r="B794" s="198">
        <v>44781</v>
      </c>
      <c r="C794" s="178">
        <v>83455.199999999997</v>
      </c>
      <c r="D794">
        <f t="shared" si="25"/>
        <v>1.2717578573040456E-3</v>
      </c>
      <c r="E794" s="179">
        <v>34.880000000000003</v>
      </c>
      <c r="F794">
        <f t="shared" si="26"/>
        <v>-2.0224719101123556E-2</v>
      </c>
      <c r="H794" s="179"/>
      <c r="R794" s="199">
        <v>42779</v>
      </c>
      <c r="S794" s="180">
        <v>4.2919999999999998</v>
      </c>
    </row>
    <row r="795" spans="2:19">
      <c r="B795" s="198">
        <v>44782</v>
      </c>
      <c r="C795" s="178">
        <v>83674.16</v>
      </c>
      <c r="D795">
        <f t="shared" si="25"/>
        <v>2.6236831257968607E-3</v>
      </c>
      <c r="E795" s="179">
        <v>34.869999999999997</v>
      </c>
      <c r="F795">
        <f t="shared" si="26"/>
        <v>-2.8669724770657989E-4</v>
      </c>
      <c r="H795" s="179"/>
      <c r="R795" s="199">
        <v>42780</v>
      </c>
      <c r="S795" s="180">
        <v>4.2919999999999998</v>
      </c>
    </row>
    <row r="796" spans="2:19">
      <c r="B796" s="198">
        <v>44783</v>
      </c>
      <c r="C796" s="178">
        <v>83215.429999999993</v>
      </c>
      <c r="D796">
        <f t="shared" si="25"/>
        <v>-5.4823376774861821E-3</v>
      </c>
      <c r="E796" s="179">
        <v>33.85</v>
      </c>
      <c r="F796">
        <f t="shared" si="26"/>
        <v>-2.9251505592199467E-2</v>
      </c>
      <c r="H796" s="179"/>
      <c r="R796" s="199">
        <v>42781</v>
      </c>
      <c r="S796" s="180">
        <v>4.2919999999999998</v>
      </c>
    </row>
    <row r="797" spans="2:19">
      <c r="B797" s="198">
        <v>44784</v>
      </c>
      <c r="C797" s="178">
        <v>84261.85</v>
      </c>
      <c r="D797">
        <f t="shared" si="25"/>
        <v>1.2574831374421835E-2</v>
      </c>
      <c r="E797" s="179">
        <v>34.75</v>
      </c>
      <c r="F797">
        <f t="shared" si="26"/>
        <v>2.6587887740029403E-2</v>
      </c>
      <c r="H797" s="179"/>
      <c r="R797" s="199">
        <v>42782</v>
      </c>
      <c r="S797" s="180">
        <v>4.2919999999999998</v>
      </c>
    </row>
    <row r="798" spans="2:19">
      <c r="B798" s="198">
        <v>44785</v>
      </c>
      <c r="C798" s="178">
        <v>83848.850000000006</v>
      </c>
      <c r="D798">
        <f t="shared" si="25"/>
        <v>-4.9013877573302889E-3</v>
      </c>
      <c r="E798" s="179">
        <v>33.590000000000003</v>
      </c>
      <c r="F798">
        <f t="shared" si="26"/>
        <v>-3.338129496402864E-2</v>
      </c>
      <c r="H798" s="179"/>
      <c r="R798" s="199">
        <v>42783</v>
      </c>
      <c r="S798" s="180">
        <v>4.2919999999999998</v>
      </c>
    </row>
    <row r="799" spans="2:19">
      <c r="B799" s="198">
        <v>44788</v>
      </c>
      <c r="C799" s="178">
        <v>84277.33</v>
      </c>
      <c r="D799">
        <f t="shared" si="25"/>
        <v>5.1101476048867056E-3</v>
      </c>
      <c r="E799" s="179">
        <v>33.64</v>
      </c>
      <c r="F799">
        <f t="shared" si="26"/>
        <v>1.4885382554330473E-3</v>
      </c>
      <c r="H799" s="179"/>
      <c r="R799" s="199">
        <v>42786</v>
      </c>
      <c r="S799" s="180">
        <v>4.2919999999999998</v>
      </c>
    </row>
    <row r="800" spans="2:19">
      <c r="B800" s="198">
        <v>44789</v>
      </c>
      <c r="C800" s="178">
        <v>84714.51</v>
      </c>
      <c r="D800">
        <f t="shared" si="25"/>
        <v>5.1873973700875542E-3</v>
      </c>
      <c r="E800" s="179">
        <v>34.24</v>
      </c>
      <c r="F800">
        <f t="shared" si="26"/>
        <v>1.7835909631391145E-2</v>
      </c>
      <c r="H800" s="179"/>
      <c r="R800" s="199">
        <v>42787</v>
      </c>
      <c r="S800" s="180">
        <v>4.2919999999999998</v>
      </c>
    </row>
    <row r="801" spans="2:19">
      <c r="B801" s="198">
        <v>44790</v>
      </c>
      <c r="C801" s="178">
        <v>85061.92</v>
      </c>
      <c r="D801">
        <f t="shared" si="25"/>
        <v>4.1009503566744598E-3</v>
      </c>
      <c r="E801" s="179">
        <v>34.4</v>
      </c>
      <c r="F801">
        <f t="shared" si="26"/>
        <v>4.6728971962615162E-3</v>
      </c>
      <c r="H801" s="179"/>
      <c r="R801" s="199">
        <v>42788</v>
      </c>
      <c r="S801" s="180">
        <v>4.2919999999999998</v>
      </c>
    </row>
    <row r="802" spans="2:19">
      <c r="B802" s="198">
        <v>44791</v>
      </c>
      <c r="C802" s="178">
        <v>84809.34</v>
      </c>
      <c r="D802">
        <f t="shared" si="25"/>
        <v>-2.9693663157379646E-3</v>
      </c>
      <c r="E802" s="179">
        <v>34.1</v>
      </c>
      <c r="F802">
        <f t="shared" si="26"/>
        <v>-8.720930232558044E-3</v>
      </c>
      <c r="H802" s="179"/>
      <c r="R802" s="199">
        <v>42789</v>
      </c>
      <c r="S802" s="180">
        <v>4.2919999999999998</v>
      </c>
    </row>
    <row r="803" spans="2:19">
      <c r="B803" s="198">
        <v>44792</v>
      </c>
      <c r="C803" s="178">
        <v>84828.38</v>
      </c>
      <c r="D803">
        <f t="shared" si="25"/>
        <v>2.2450357472436622E-4</v>
      </c>
      <c r="E803" s="179">
        <v>34.090000000000003</v>
      </c>
      <c r="F803">
        <f t="shared" si="26"/>
        <v>-2.9325513196476471E-4</v>
      </c>
      <c r="H803" s="179"/>
      <c r="R803" s="199">
        <v>42790</v>
      </c>
      <c r="S803" s="180">
        <v>4.2919999999999998</v>
      </c>
    </row>
    <row r="804" spans="2:19">
      <c r="B804" s="198">
        <v>44795</v>
      </c>
      <c r="C804" s="178">
        <v>84039.69</v>
      </c>
      <c r="D804">
        <f t="shared" si="25"/>
        <v>-9.2974780374209809E-3</v>
      </c>
      <c r="E804" s="179">
        <v>33.36</v>
      </c>
      <c r="F804">
        <f t="shared" si="26"/>
        <v>-2.1413904370783388E-2</v>
      </c>
      <c r="H804" s="179"/>
      <c r="R804" s="199">
        <v>42793</v>
      </c>
      <c r="S804" s="180">
        <v>4.2919999999999998</v>
      </c>
    </row>
    <row r="805" spans="2:19">
      <c r="B805" s="198">
        <v>44796</v>
      </c>
      <c r="C805" s="178">
        <v>83030.81</v>
      </c>
      <c r="D805">
        <f t="shared" si="25"/>
        <v>-1.2004803920623752E-2</v>
      </c>
      <c r="E805" s="179">
        <v>33.19</v>
      </c>
      <c r="F805">
        <f t="shared" si="26"/>
        <v>-5.0959232613909666E-3</v>
      </c>
      <c r="H805" s="179"/>
      <c r="R805" s="199">
        <v>42794</v>
      </c>
      <c r="S805" s="180">
        <v>4.2919999999999998</v>
      </c>
    </row>
    <row r="806" spans="2:19">
      <c r="B806" s="198">
        <v>44797</v>
      </c>
      <c r="C806" s="178">
        <v>83563.69</v>
      </c>
      <c r="D806">
        <f t="shared" si="25"/>
        <v>6.4178586238048396E-3</v>
      </c>
      <c r="E806" s="179">
        <v>35.24</v>
      </c>
      <c r="F806">
        <f t="shared" si="26"/>
        <v>6.1765592045797124E-2</v>
      </c>
      <c r="H806" s="179"/>
      <c r="R806" s="199">
        <v>42795</v>
      </c>
      <c r="S806" s="180">
        <v>4.2919999999999998</v>
      </c>
    </row>
    <row r="807" spans="2:19">
      <c r="B807" s="198">
        <v>44798</v>
      </c>
      <c r="C807" s="178">
        <v>84152.62</v>
      </c>
      <c r="D807">
        <f t="shared" si="25"/>
        <v>7.0476782439836683E-3</v>
      </c>
      <c r="E807" s="179">
        <v>36</v>
      </c>
      <c r="F807">
        <f t="shared" si="26"/>
        <v>2.1566401816117908E-2</v>
      </c>
      <c r="H807" s="179"/>
      <c r="R807" s="199">
        <v>42796</v>
      </c>
      <c r="S807" s="180">
        <v>4.2919999999999998</v>
      </c>
    </row>
    <row r="808" spans="2:19">
      <c r="B808" s="198">
        <v>44799</v>
      </c>
      <c r="C808" s="178">
        <v>84793.13</v>
      </c>
      <c r="D808">
        <f t="shared" si="25"/>
        <v>7.6112900584677234E-3</v>
      </c>
      <c r="E808" s="179">
        <v>35.630000000000003</v>
      </c>
      <c r="F808">
        <f t="shared" si="26"/>
        <v>-1.0277777777777719E-2</v>
      </c>
      <c r="H808" s="179"/>
      <c r="R808" s="199">
        <v>42797</v>
      </c>
      <c r="S808" s="180">
        <v>4.2919999999999998</v>
      </c>
    </row>
    <row r="809" spans="2:19">
      <c r="B809" s="198">
        <v>44802</v>
      </c>
      <c r="C809" s="178">
        <v>83052.179999999993</v>
      </c>
      <c r="D809">
        <f t="shared" si="25"/>
        <v>-2.0531734115723843E-2</v>
      </c>
      <c r="E809" s="179">
        <v>34.18</v>
      </c>
      <c r="F809">
        <f t="shared" si="26"/>
        <v>-4.0696042660679277E-2</v>
      </c>
      <c r="H809" s="179"/>
      <c r="R809" s="199">
        <v>42800</v>
      </c>
      <c r="S809" s="180">
        <v>4.2919999999999998</v>
      </c>
    </row>
    <row r="810" spans="2:19">
      <c r="B810" s="198">
        <v>44803</v>
      </c>
      <c r="C810" s="178">
        <v>83492.710000000006</v>
      </c>
      <c r="D810">
        <f t="shared" si="25"/>
        <v>5.3042557100850818E-3</v>
      </c>
      <c r="E810" s="179">
        <v>34.35</v>
      </c>
      <c r="F810">
        <f t="shared" si="26"/>
        <v>4.9736688121708728E-3</v>
      </c>
      <c r="H810" s="179"/>
      <c r="R810" s="199">
        <v>42801</v>
      </c>
      <c r="S810" s="180">
        <v>4.2919999999999998</v>
      </c>
    </row>
    <row r="811" spans="2:19">
      <c r="B811" s="198">
        <v>44804</v>
      </c>
      <c r="C811" s="178">
        <v>83524.429999999993</v>
      </c>
      <c r="D811">
        <f t="shared" si="25"/>
        <v>3.7991340800869189E-4</v>
      </c>
      <c r="E811" s="179">
        <v>34</v>
      </c>
      <c r="F811">
        <f t="shared" si="26"/>
        <v>-1.0189228529839944E-2</v>
      </c>
      <c r="H811" s="179"/>
      <c r="R811" s="199">
        <v>42802</v>
      </c>
      <c r="S811" s="180">
        <v>4.2919999999999998</v>
      </c>
    </row>
    <row r="812" spans="2:19">
      <c r="B812" s="198">
        <v>44805</v>
      </c>
      <c r="C812" s="178">
        <v>82312.460000000006</v>
      </c>
      <c r="D812">
        <f t="shared" si="25"/>
        <v>-1.451036541045525E-2</v>
      </c>
      <c r="E812" s="179">
        <v>33.72</v>
      </c>
      <c r="F812">
        <f t="shared" si="26"/>
        <v>-8.2352941176471184E-3</v>
      </c>
      <c r="H812" s="179"/>
      <c r="R812" s="199">
        <v>42803</v>
      </c>
      <c r="S812" s="180">
        <v>4.2919999999999998</v>
      </c>
    </row>
    <row r="813" spans="2:19">
      <c r="B813" s="198">
        <v>44806</v>
      </c>
      <c r="C813" s="178">
        <v>82074.37</v>
      </c>
      <c r="D813">
        <f t="shared" si="25"/>
        <v>-2.892514693401349E-3</v>
      </c>
      <c r="E813" s="179">
        <v>33.61</v>
      </c>
      <c r="F813">
        <f t="shared" si="26"/>
        <v>-3.2621589561091513E-3</v>
      </c>
      <c r="H813" s="179"/>
      <c r="R813" s="199">
        <v>42804</v>
      </c>
      <c r="S813" s="180">
        <v>4.2919999999999998</v>
      </c>
    </row>
    <row r="814" spans="2:19">
      <c r="B814" s="198">
        <v>44809</v>
      </c>
      <c r="C814" s="178">
        <v>82462.31</v>
      </c>
      <c r="D814">
        <f t="shared" si="25"/>
        <v>4.7266887336447905E-3</v>
      </c>
      <c r="E814" s="179">
        <v>33.619999999999997</v>
      </c>
      <c r="F814">
        <f t="shared" si="26"/>
        <v>2.975304968759751E-4</v>
      </c>
      <c r="H814" s="179"/>
      <c r="R814" s="199">
        <v>42807</v>
      </c>
      <c r="S814" s="180">
        <v>4.2919999999999998</v>
      </c>
    </row>
    <row r="815" spans="2:19">
      <c r="B815" s="198">
        <v>44810</v>
      </c>
      <c r="C815" s="178">
        <v>82310.37</v>
      </c>
      <c r="D815">
        <f t="shared" si="25"/>
        <v>-1.8425387307243746E-3</v>
      </c>
      <c r="E815" s="179">
        <v>32.229999999999997</v>
      </c>
      <c r="F815">
        <f t="shared" si="26"/>
        <v>-4.1344437834622272E-2</v>
      </c>
      <c r="H815" s="179"/>
      <c r="R815" s="199">
        <v>42808</v>
      </c>
      <c r="S815" s="180">
        <v>4.2919999999999998</v>
      </c>
    </row>
    <row r="816" spans="2:19">
      <c r="B816" s="198">
        <v>44811</v>
      </c>
      <c r="C816" s="178">
        <v>81221.94</v>
      </c>
      <c r="D816">
        <f t="shared" si="25"/>
        <v>-1.3223485692021475E-2</v>
      </c>
      <c r="E816" s="179">
        <v>32.24</v>
      </c>
      <c r="F816">
        <f t="shared" si="26"/>
        <v>3.1026993484339904E-4</v>
      </c>
      <c r="H816" s="179"/>
      <c r="R816" s="199">
        <v>42809</v>
      </c>
      <c r="S816" s="180">
        <v>4.2919999999999998</v>
      </c>
    </row>
    <row r="817" spans="2:19">
      <c r="B817" s="198">
        <v>44812</v>
      </c>
      <c r="C817" s="178">
        <v>82820.820000000007</v>
      </c>
      <c r="D817">
        <f t="shared" si="25"/>
        <v>1.9685321478408513E-2</v>
      </c>
      <c r="E817" s="179">
        <v>32.770000000000003</v>
      </c>
      <c r="F817">
        <f t="shared" si="26"/>
        <v>1.6439205955335101E-2</v>
      </c>
      <c r="H817" s="179"/>
      <c r="R817" s="199">
        <v>42810</v>
      </c>
      <c r="S817" s="180">
        <v>4.2919999999999998</v>
      </c>
    </row>
    <row r="818" spans="2:19">
      <c r="B818" s="198">
        <v>44813</v>
      </c>
      <c r="C818" s="178">
        <v>83453.13</v>
      </c>
      <c r="D818">
        <f t="shared" si="25"/>
        <v>7.634674469535474E-3</v>
      </c>
      <c r="E818" s="179">
        <v>32.549999999999997</v>
      </c>
      <c r="F818">
        <f t="shared" si="26"/>
        <v>-6.7134574305769412E-3</v>
      </c>
      <c r="H818" s="179"/>
      <c r="R818" s="199">
        <v>42811</v>
      </c>
      <c r="S818" s="180">
        <v>4.2919999999999998</v>
      </c>
    </row>
    <row r="819" spans="2:19">
      <c r="B819" s="198">
        <v>44816</v>
      </c>
      <c r="C819" s="178">
        <v>84265.69</v>
      </c>
      <c r="D819">
        <f t="shared" si="25"/>
        <v>9.7367228766613856E-3</v>
      </c>
      <c r="E819" s="179">
        <v>33.020000000000003</v>
      </c>
      <c r="F819">
        <f t="shared" si="26"/>
        <v>1.4439324116743757E-2</v>
      </c>
      <c r="H819" s="179"/>
      <c r="R819" s="199">
        <v>42814</v>
      </c>
      <c r="S819" s="180">
        <v>4.2919999999999998</v>
      </c>
    </row>
    <row r="820" spans="2:19">
      <c r="B820" s="198">
        <v>44817</v>
      </c>
      <c r="C820" s="178">
        <v>84806.19</v>
      </c>
      <c r="D820">
        <f t="shared" si="25"/>
        <v>6.4142357346150813E-3</v>
      </c>
      <c r="E820" s="179">
        <v>33.07</v>
      </c>
      <c r="F820">
        <f t="shared" si="26"/>
        <v>1.5142337976983278E-3</v>
      </c>
      <c r="H820" s="179"/>
      <c r="R820" s="199">
        <v>42815</v>
      </c>
      <c r="S820" s="180">
        <v>4.2919999999999998</v>
      </c>
    </row>
    <row r="821" spans="2:19">
      <c r="B821" s="198">
        <v>44818</v>
      </c>
      <c r="C821" s="178">
        <v>82684.14</v>
      </c>
      <c r="D821">
        <f t="shared" si="25"/>
        <v>-2.5022348014926754E-2</v>
      </c>
      <c r="E821" s="179">
        <v>32.44</v>
      </c>
      <c r="F821">
        <f t="shared" si="26"/>
        <v>-1.9050498941639016E-2</v>
      </c>
      <c r="H821" s="179"/>
      <c r="R821" s="199">
        <v>42816</v>
      </c>
      <c r="S821" s="180">
        <v>4.2919999999999998</v>
      </c>
    </row>
    <row r="822" spans="2:19">
      <c r="B822" s="198">
        <v>44819</v>
      </c>
      <c r="C822" s="178">
        <v>82853.56</v>
      </c>
      <c r="D822">
        <f t="shared" si="25"/>
        <v>2.049002384254095E-3</v>
      </c>
      <c r="E822" s="179">
        <v>31.74</v>
      </c>
      <c r="F822">
        <f t="shared" si="26"/>
        <v>-2.1578298397040618E-2</v>
      </c>
      <c r="H822" s="179"/>
      <c r="R822" s="199">
        <v>42817</v>
      </c>
      <c r="S822" s="180">
        <v>4.2919999999999998</v>
      </c>
    </row>
    <row r="823" spans="2:19">
      <c r="B823" s="198">
        <v>44820</v>
      </c>
      <c r="C823" s="178">
        <v>81602.490000000005</v>
      </c>
      <c r="D823">
        <f t="shared" si="25"/>
        <v>-1.5099773624693835E-2</v>
      </c>
      <c r="E823" s="179">
        <v>31.4</v>
      </c>
      <c r="F823">
        <f t="shared" si="26"/>
        <v>-1.0712035286704502E-2</v>
      </c>
      <c r="H823" s="179"/>
      <c r="R823" s="199">
        <v>42818</v>
      </c>
      <c r="S823" s="180">
        <v>4.2919999999999998</v>
      </c>
    </row>
    <row r="824" spans="2:19">
      <c r="B824" s="198">
        <v>44823</v>
      </c>
      <c r="C824" s="178">
        <v>81294.27</v>
      </c>
      <c r="D824">
        <f t="shared" si="25"/>
        <v>-3.7770906255434333E-3</v>
      </c>
      <c r="E824" s="179">
        <v>30.67</v>
      </c>
      <c r="F824">
        <f t="shared" si="26"/>
        <v>-2.3248407643312041E-2</v>
      </c>
      <c r="H824" s="179"/>
      <c r="R824" s="199">
        <v>42821</v>
      </c>
      <c r="S824" s="180">
        <v>4.2919999999999998</v>
      </c>
    </row>
    <row r="825" spans="2:19">
      <c r="B825" s="198">
        <v>44824</v>
      </c>
      <c r="C825" s="178">
        <v>82248.600000000006</v>
      </c>
      <c r="D825">
        <f t="shared" si="25"/>
        <v>1.1739203759379313E-2</v>
      </c>
      <c r="E825" s="179">
        <v>30.52</v>
      </c>
      <c r="F825">
        <f t="shared" si="26"/>
        <v>-4.8907727420933744E-3</v>
      </c>
      <c r="H825" s="179"/>
      <c r="R825" s="199">
        <v>42822</v>
      </c>
      <c r="S825" s="180">
        <v>4.2919999999999998</v>
      </c>
    </row>
    <row r="826" spans="2:19">
      <c r="B826" s="198">
        <v>44825</v>
      </c>
      <c r="C826" s="178">
        <v>80996.3</v>
      </c>
      <c r="D826">
        <f t="shared" si="25"/>
        <v>-1.5225791077294937E-2</v>
      </c>
      <c r="E826" s="179">
        <v>30.32</v>
      </c>
      <c r="F826">
        <f t="shared" si="26"/>
        <v>-6.5530799475753687E-3</v>
      </c>
      <c r="H826" s="179"/>
      <c r="R826" s="199">
        <v>42823</v>
      </c>
      <c r="S826" s="180">
        <v>4.2919999999999998</v>
      </c>
    </row>
    <row r="827" spans="2:19">
      <c r="B827" s="198">
        <v>44827</v>
      </c>
      <c r="C827" s="178">
        <v>79448.62</v>
      </c>
      <c r="D827">
        <f t="shared" si="25"/>
        <v>-1.9108033329917617E-2</v>
      </c>
      <c r="E827" s="179">
        <v>29.67</v>
      </c>
      <c r="F827">
        <f t="shared" si="26"/>
        <v>-2.1437994722955045E-2</v>
      </c>
      <c r="H827" s="179"/>
      <c r="R827" s="199">
        <v>42824</v>
      </c>
      <c r="S827" s="180">
        <v>4.2919999999999998</v>
      </c>
    </row>
    <row r="828" spans="2:19">
      <c r="B828" s="198">
        <v>44830</v>
      </c>
      <c r="C828" s="178">
        <v>78030.19</v>
      </c>
      <c r="D828">
        <f t="shared" si="25"/>
        <v>-1.7853425270319301E-2</v>
      </c>
      <c r="E828" s="179">
        <v>29.95</v>
      </c>
      <c r="F828">
        <f t="shared" si="26"/>
        <v>9.4371418941692209E-3</v>
      </c>
      <c r="H828" s="179"/>
      <c r="R828" s="199">
        <v>42825</v>
      </c>
      <c r="S828" s="180">
        <v>4.2919999999999998</v>
      </c>
    </row>
    <row r="829" spans="2:19">
      <c r="B829" s="198">
        <v>44831</v>
      </c>
      <c r="C829" s="178">
        <v>78369.95</v>
      </c>
      <c r="D829">
        <f t="shared" si="25"/>
        <v>4.3542121325090832E-3</v>
      </c>
      <c r="E829" s="179">
        <v>30.43</v>
      </c>
      <c r="F829">
        <f t="shared" si="26"/>
        <v>1.6026711185308962E-2</v>
      </c>
      <c r="H829" s="179"/>
      <c r="R829" s="199">
        <v>42828</v>
      </c>
      <c r="S829" s="180">
        <v>4.2919999999999998</v>
      </c>
    </row>
    <row r="830" spans="2:19">
      <c r="B830" s="198">
        <v>44832</v>
      </c>
      <c r="C830" s="178">
        <v>77941.14</v>
      </c>
      <c r="D830">
        <f t="shared" si="25"/>
        <v>-5.4716125249537617E-3</v>
      </c>
      <c r="E830" s="179">
        <v>30.55</v>
      </c>
      <c r="F830">
        <f t="shared" si="26"/>
        <v>3.9434768320736335E-3</v>
      </c>
      <c r="H830" s="179"/>
      <c r="R830" s="199">
        <v>42829</v>
      </c>
      <c r="S830" s="180">
        <v>4.2919999999999998</v>
      </c>
    </row>
    <row r="831" spans="2:19">
      <c r="B831" s="198">
        <v>44833</v>
      </c>
      <c r="C831" s="178">
        <v>79131.460000000006</v>
      </c>
      <c r="D831">
        <f t="shared" si="25"/>
        <v>1.5272037334840283E-2</v>
      </c>
      <c r="E831" s="179">
        <v>30.76</v>
      </c>
      <c r="F831">
        <f t="shared" si="26"/>
        <v>6.8739770867429772E-3</v>
      </c>
      <c r="H831" s="179"/>
      <c r="R831" s="199">
        <v>42830</v>
      </c>
      <c r="S831" s="180">
        <v>4.2919999999999998</v>
      </c>
    </row>
    <row r="832" spans="2:19">
      <c r="B832" s="198">
        <v>44834</v>
      </c>
      <c r="C832" s="178">
        <v>78174.039999999994</v>
      </c>
      <c r="D832">
        <f t="shared" si="25"/>
        <v>-1.2099106979702068E-2</v>
      </c>
      <c r="E832" s="179">
        <v>30.58</v>
      </c>
      <c r="F832">
        <f t="shared" si="26"/>
        <v>-5.8517555266580645E-3</v>
      </c>
      <c r="H832" s="179"/>
      <c r="R832" s="199">
        <v>42831</v>
      </c>
      <c r="S832" s="180">
        <v>4.2919999999999998</v>
      </c>
    </row>
    <row r="833" spans="2:19">
      <c r="B833" s="198">
        <v>44837</v>
      </c>
      <c r="C833" s="178">
        <v>77913.25</v>
      </c>
      <c r="D833">
        <f t="shared" si="25"/>
        <v>-3.3360179415058422E-3</v>
      </c>
      <c r="E833" s="179">
        <v>30.5</v>
      </c>
      <c r="F833">
        <f t="shared" si="26"/>
        <v>-2.6160889470241422E-3</v>
      </c>
      <c r="H833" s="179"/>
      <c r="R833" s="199">
        <v>42832</v>
      </c>
      <c r="S833" s="180">
        <v>4.2919999999999998</v>
      </c>
    </row>
    <row r="834" spans="2:19">
      <c r="B834" s="198">
        <v>44838</v>
      </c>
      <c r="C834" s="178">
        <v>80830.7</v>
      </c>
      <c r="D834">
        <f t="shared" si="25"/>
        <v>3.7444850522857065E-2</v>
      </c>
      <c r="E834" s="179">
        <v>31.37</v>
      </c>
      <c r="F834">
        <f t="shared" si="26"/>
        <v>2.8524590163934382E-2</v>
      </c>
      <c r="H834" s="179"/>
      <c r="R834" s="199">
        <v>42835</v>
      </c>
      <c r="S834" s="180">
        <v>4.2919999999999998</v>
      </c>
    </row>
    <row r="835" spans="2:19">
      <c r="B835" s="198">
        <v>44839</v>
      </c>
      <c r="C835" s="178">
        <v>82300.899999999994</v>
      </c>
      <c r="D835">
        <f t="shared" si="25"/>
        <v>1.8188633774048668E-2</v>
      </c>
      <c r="E835" s="179">
        <v>31.87</v>
      </c>
      <c r="F835">
        <f t="shared" si="26"/>
        <v>1.5938795027095942E-2</v>
      </c>
      <c r="H835" s="179"/>
      <c r="R835" s="199">
        <v>42836</v>
      </c>
      <c r="S835" s="180">
        <v>4.2919999999999998</v>
      </c>
    </row>
    <row r="836" spans="2:19">
      <c r="B836" s="198">
        <v>44840</v>
      </c>
      <c r="C836" s="178">
        <v>82331.8</v>
      </c>
      <c r="D836">
        <f t="shared" si="25"/>
        <v>3.7545154427243155E-4</v>
      </c>
      <c r="E836" s="179">
        <v>31.81</v>
      </c>
      <c r="F836">
        <f t="shared" si="26"/>
        <v>-1.8826482585504456E-3</v>
      </c>
      <c r="H836" s="179"/>
      <c r="R836" s="199">
        <v>42837</v>
      </c>
      <c r="S836" s="180">
        <v>4.2919999999999998</v>
      </c>
    </row>
    <row r="837" spans="2:19">
      <c r="B837" s="198">
        <v>44841</v>
      </c>
      <c r="C837" s="178">
        <v>81660.479999999996</v>
      </c>
      <c r="D837">
        <f t="shared" si="25"/>
        <v>-8.1538360633437446E-3</v>
      </c>
      <c r="E837" s="179">
        <v>31.61</v>
      </c>
      <c r="F837">
        <f t="shared" si="26"/>
        <v>-6.2873310279786265E-3</v>
      </c>
      <c r="H837" s="179"/>
      <c r="R837" s="199">
        <v>42838</v>
      </c>
      <c r="S837" s="180">
        <v>4.2919999999999998</v>
      </c>
    </row>
    <row r="838" spans="2:19">
      <c r="B838" s="198">
        <v>44844</v>
      </c>
      <c r="C838" s="178">
        <v>80441.789999999994</v>
      </c>
      <c r="D838">
        <f t="shared" si="25"/>
        <v>-1.492386525281264E-2</v>
      </c>
      <c r="E838" s="179">
        <v>30.78</v>
      </c>
      <c r="F838">
        <f t="shared" si="26"/>
        <v>-2.625751344511229E-2</v>
      </c>
      <c r="H838" s="179"/>
      <c r="R838" s="199">
        <v>42843</v>
      </c>
      <c r="S838" s="180">
        <v>4.2919999999999998</v>
      </c>
    </row>
    <row r="839" spans="2:19">
      <c r="B839" s="198">
        <v>44845</v>
      </c>
      <c r="C839" s="178">
        <v>80120.98</v>
      </c>
      <c r="D839">
        <f t="shared" si="25"/>
        <v>-3.9881012095827062E-3</v>
      </c>
      <c r="E839" s="179">
        <v>30.55</v>
      </c>
      <c r="F839">
        <f t="shared" si="26"/>
        <v>-7.4723846653671488E-3</v>
      </c>
      <c r="H839" s="179"/>
      <c r="R839" s="199">
        <v>42844</v>
      </c>
      <c r="S839" s="180">
        <v>4.2919999999999998</v>
      </c>
    </row>
    <row r="840" spans="2:19">
      <c r="B840" s="198">
        <v>44846</v>
      </c>
      <c r="C840" s="178">
        <v>80098.399999999994</v>
      </c>
      <c r="D840">
        <f t="shared" ref="D840:D903" si="27">(C840/C839)-1</f>
        <v>-2.8182381194041817E-4</v>
      </c>
      <c r="E840" s="179">
        <v>30.29</v>
      </c>
      <c r="F840">
        <f t="shared" ref="F840:F903" si="28">(E840/E839)-1</f>
        <v>-8.5106382978723527E-3</v>
      </c>
      <c r="H840" s="179"/>
      <c r="R840" s="199">
        <v>42845</v>
      </c>
      <c r="S840" s="180">
        <v>4.2919999999999998</v>
      </c>
    </row>
    <row r="841" spans="2:19">
      <c r="B841" s="198">
        <v>44847</v>
      </c>
      <c r="C841" s="178">
        <v>80006.23</v>
      </c>
      <c r="D841">
        <f t="shared" si="27"/>
        <v>-1.1507096271585748E-3</v>
      </c>
      <c r="E841" s="179">
        <v>29.99</v>
      </c>
      <c r="F841">
        <f t="shared" si="28"/>
        <v>-9.9042588312975299E-3</v>
      </c>
      <c r="H841" s="179"/>
      <c r="R841" s="199">
        <v>42846</v>
      </c>
      <c r="S841" s="180">
        <v>4.2919999999999998</v>
      </c>
    </row>
    <row r="842" spans="2:19">
      <c r="B842" s="198">
        <v>44848</v>
      </c>
      <c r="C842" s="178">
        <v>81350.03</v>
      </c>
      <c r="D842">
        <f t="shared" si="27"/>
        <v>1.6796191996548249E-2</v>
      </c>
      <c r="E842" s="179">
        <v>30.55</v>
      </c>
      <c r="F842">
        <f t="shared" si="28"/>
        <v>1.8672890963654654E-2</v>
      </c>
      <c r="H842" s="179"/>
      <c r="R842" s="199">
        <v>42849</v>
      </c>
      <c r="S842" s="180">
        <v>4.2919999999999998</v>
      </c>
    </row>
    <row r="843" spans="2:19">
      <c r="B843" s="198">
        <v>44851</v>
      </c>
      <c r="C843" s="178">
        <v>80246.3</v>
      </c>
      <c r="D843">
        <f t="shared" si="27"/>
        <v>-1.3567665555870079E-2</v>
      </c>
      <c r="E843" s="179">
        <v>30.45</v>
      </c>
      <c r="F843">
        <f t="shared" si="28"/>
        <v>-3.2733224222586399E-3</v>
      </c>
      <c r="H843" s="179"/>
      <c r="R843" s="199">
        <v>42851</v>
      </c>
      <c r="S843" s="180">
        <v>4.2919999999999998</v>
      </c>
    </row>
    <row r="844" spans="2:19">
      <c r="B844" s="198">
        <v>44852</v>
      </c>
      <c r="C844" s="178">
        <v>81673.3</v>
      </c>
      <c r="D844">
        <f t="shared" si="27"/>
        <v>1.77827513542681E-2</v>
      </c>
      <c r="E844" s="179">
        <v>31.1</v>
      </c>
      <c r="F844">
        <f t="shared" si="28"/>
        <v>2.1346469622331776E-2</v>
      </c>
      <c r="H844" s="179"/>
      <c r="R844" s="199">
        <v>42852</v>
      </c>
      <c r="S844" s="180">
        <v>4.2919999999999998</v>
      </c>
    </row>
    <row r="845" spans="2:19">
      <c r="B845" s="198">
        <v>44853</v>
      </c>
      <c r="C845" s="178">
        <v>81949.33</v>
      </c>
      <c r="D845">
        <f t="shared" si="27"/>
        <v>3.3796846705105299E-3</v>
      </c>
      <c r="E845" s="179">
        <v>31.05</v>
      </c>
      <c r="F845">
        <f t="shared" si="28"/>
        <v>-1.607717041800627E-3</v>
      </c>
      <c r="H845" s="179"/>
      <c r="R845" s="199">
        <v>42853</v>
      </c>
      <c r="S845" s="180">
        <v>4.2919999999999998</v>
      </c>
    </row>
    <row r="846" spans="2:19">
      <c r="B846" s="198">
        <v>44854</v>
      </c>
      <c r="C846" s="178">
        <v>80999.72</v>
      </c>
      <c r="D846">
        <f t="shared" si="27"/>
        <v>-1.1587770150164767E-2</v>
      </c>
      <c r="E846" s="179">
        <v>30.59</v>
      </c>
      <c r="F846">
        <f t="shared" si="28"/>
        <v>-1.4814814814814836E-2</v>
      </c>
      <c r="H846" s="179"/>
      <c r="R846" s="199">
        <v>42856</v>
      </c>
      <c r="S846" s="180">
        <v>4.2919999999999998</v>
      </c>
    </row>
    <row r="847" spans="2:19">
      <c r="B847" s="198">
        <v>44855</v>
      </c>
      <c r="C847" s="178">
        <v>80431.399999999994</v>
      </c>
      <c r="D847">
        <f t="shared" si="27"/>
        <v>-7.0163205502439263E-3</v>
      </c>
      <c r="E847" s="179">
        <v>30.79</v>
      </c>
      <c r="F847">
        <f t="shared" si="28"/>
        <v>6.5380843412878864E-3</v>
      </c>
      <c r="H847" s="179"/>
      <c r="R847" s="199">
        <v>42857</v>
      </c>
      <c r="S847" s="180">
        <v>4.2919999999999998</v>
      </c>
    </row>
    <row r="848" spans="2:19">
      <c r="B848" s="198">
        <v>44858</v>
      </c>
      <c r="C848" s="178">
        <v>81710.850000000006</v>
      </c>
      <c r="D848">
        <f t="shared" si="27"/>
        <v>1.5907344644007226E-2</v>
      </c>
      <c r="E848" s="179">
        <v>31.15</v>
      </c>
      <c r="F848">
        <f t="shared" si="28"/>
        <v>1.1692107827216525E-2</v>
      </c>
      <c r="H848" s="179"/>
      <c r="R848" s="199">
        <v>42858</v>
      </c>
      <c r="S848" s="180">
        <v>4.2919999999999998</v>
      </c>
    </row>
    <row r="849" spans="2:19">
      <c r="B849" s="198">
        <v>44859</v>
      </c>
      <c r="C849" s="178">
        <v>81891.05</v>
      </c>
      <c r="D849">
        <f t="shared" si="27"/>
        <v>2.2053374796615621E-3</v>
      </c>
      <c r="E849" s="179">
        <v>31.59</v>
      </c>
      <c r="F849">
        <f t="shared" si="28"/>
        <v>1.4125200642054692E-2</v>
      </c>
      <c r="H849" s="179"/>
      <c r="R849" s="199">
        <v>42859</v>
      </c>
      <c r="S849" s="180">
        <v>4.2919999999999998</v>
      </c>
    </row>
    <row r="850" spans="2:19">
      <c r="B850" s="198">
        <v>44860</v>
      </c>
      <c r="C850" s="178">
        <v>82026.490000000005</v>
      </c>
      <c r="D850">
        <f t="shared" si="27"/>
        <v>1.6539047917936145E-3</v>
      </c>
      <c r="E850" s="179">
        <v>32.24</v>
      </c>
      <c r="F850">
        <f t="shared" si="28"/>
        <v>2.0576131687242816E-2</v>
      </c>
      <c r="H850" s="179"/>
      <c r="R850" s="199">
        <v>42860</v>
      </c>
      <c r="S850" s="180">
        <v>4.2919999999999998</v>
      </c>
    </row>
    <row r="851" spans="2:19">
      <c r="B851" s="198">
        <v>44861</v>
      </c>
      <c r="C851" s="178">
        <v>82467.38</v>
      </c>
      <c r="D851">
        <f t="shared" si="27"/>
        <v>5.3749709392660883E-3</v>
      </c>
      <c r="E851" s="179">
        <v>32.07</v>
      </c>
      <c r="F851">
        <f t="shared" si="28"/>
        <v>-5.2729528535980785E-3</v>
      </c>
      <c r="H851" s="179"/>
      <c r="R851" s="199">
        <v>42863</v>
      </c>
      <c r="S851" s="180">
        <v>4.2919999999999998</v>
      </c>
    </row>
    <row r="852" spans="2:19">
      <c r="B852" s="198">
        <v>44862</v>
      </c>
      <c r="C852" s="178">
        <v>81661.77</v>
      </c>
      <c r="D852">
        <f t="shared" si="27"/>
        <v>-9.7688322340300227E-3</v>
      </c>
      <c r="E852" s="179">
        <v>32.29</v>
      </c>
      <c r="F852">
        <f t="shared" si="28"/>
        <v>6.8599937636419916E-3</v>
      </c>
      <c r="H852" s="179"/>
      <c r="R852" s="199">
        <v>42864</v>
      </c>
      <c r="S852" s="180">
        <v>4.2919999999999998</v>
      </c>
    </row>
    <row r="853" spans="2:19">
      <c r="B853" s="198">
        <v>44865</v>
      </c>
      <c r="C853" s="178">
        <v>82614.27</v>
      </c>
      <c r="D853">
        <f t="shared" si="27"/>
        <v>1.1663964667922411E-2</v>
      </c>
      <c r="E853" s="179">
        <v>32.770000000000003</v>
      </c>
      <c r="F853">
        <f t="shared" si="28"/>
        <v>1.4865283369464244E-2</v>
      </c>
      <c r="H853" s="179"/>
      <c r="R853" s="199">
        <v>42865</v>
      </c>
      <c r="S853" s="180">
        <v>4.2919999999999998</v>
      </c>
    </row>
    <row r="854" spans="2:19">
      <c r="B854" s="198">
        <v>44866</v>
      </c>
      <c r="C854" s="178">
        <v>83960.15</v>
      </c>
      <c r="D854">
        <f t="shared" si="27"/>
        <v>1.6291132270490172E-2</v>
      </c>
      <c r="E854" s="179">
        <v>33.049999999999997</v>
      </c>
      <c r="F854">
        <f t="shared" si="28"/>
        <v>8.5444003661883094E-3</v>
      </c>
      <c r="H854" s="179"/>
      <c r="R854" s="199">
        <v>42866</v>
      </c>
      <c r="S854" s="180">
        <v>4.2919999999999998</v>
      </c>
    </row>
    <row r="855" spans="2:19">
      <c r="B855" s="198">
        <v>44867</v>
      </c>
      <c r="C855" s="178">
        <v>84057.47</v>
      </c>
      <c r="D855">
        <f t="shared" si="27"/>
        <v>1.1591213212458484E-3</v>
      </c>
      <c r="E855" s="179">
        <v>33</v>
      </c>
      <c r="F855">
        <f t="shared" si="28"/>
        <v>-1.5128593040846239E-3</v>
      </c>
      <c r="H855" s="179"/>
      <c r="R855" s="199">
        <v>42867</v>
      </c>
      <c r="S855" s="180">
        <v>4.2919999999999998</v>
      </c>
    </row>
    <row r="856" spans="2:19">
      <c r="B856" s="198">
        <v>44868</v>
      </c>
      <c r="C856" s="178">
        <v>82567.69</v>
      </c>
      <c r="D856">
        <f t="shared" si="27"/>
        <v>-1.7723350464866505E-2</v>
      </c>
      <c r="E856" s="179">
        <v>32.28</v>
      </c>
      <c r="F856">
        <f t="shared" si="28"/>
        <v>-2.1818181818181737E-2</v>
      </c>
      <c r="H856" s="179"/>
      <c r="R856" s="199">
        <v>42870</v>
      </c>
      <c r="S856" s="180">
        <v>4.2919999999999998</v>
      </c>
    </row>
    <row r="857" spans="2:19">
      <c r="B857" s="198">
        <v>44869</v>
      </c>
      <c r="C857" s="178">
        <v>83021.66</v>
      </c>
      <c r="D857">
        <f t="shared" si="27"/>
        <v>5.4981555133732929E-3</v>
      </c>
      <c r="E857" s="179">
        <v>32.19</v>
      </c>
      <c r="F857">
        <f t="shared" si="28"/>
        <v>-2.7881040892194786E-3</v>
      </c>
      <c r="H857" s="179"/>
      <c r="R857" s="199">
        <v>42871</v>
      </c>
      <c r="S857" s="180">
        <v>4.2919999999999998</v>
      </c>
    </row>
    <row r="858" spans="2:19">
      <c r="B858" s="198">
        <v>44872</v>
      </c>
      <c r="C858" s="178">
        <v>83610.539999999994</v>
      </c>
      <c r="D858">
        <f t="shared" si="27"/>
        <v>7.093088719257068E-3</v>
      </c>
      <c r="E858" s="179">
        <v>32.299999999999997</v>
      </c>
      <c r="F858">
        <f t="shared" si="28"/>
        <v>3.4172103137619647E-3</v>
      </c>
      <c r="H858" s="179"/>
      <c r="R858" s="199">
        <v>42872</v>
      </c>
      <c r="S858" s="180">
        <v>4.2919999999999998</v>
      </c>
    </row>
    <row r="859" spans="2:19">
      <c r="B859" s="198">
        <v>44873</v>
      </c>
      <c r="C859" s="178">
        <v>83855.240000000005</v>
      </c>
      <c r="D859">
        <f t="shared" si="27"/>
        <v>2.9266645090439969E-3</v>
      </c>
      <c r="E859" s="179">
        <v>32.409999999999997</v>
      </c>
      <c r="F859">
        <f t="shared" si="28"/>
        <v>3.4055727554178628E-3</v>
      </c>
      <c r="H859" s="179"/>
      <c r="R859" s="199">
        <v>42873</v>
      </c>
      <c r="S859" s="180">
        <v>4.2919999999999998</v>
      </c>
    </row>
    <row r="860" spans="2:19">
      <c r="B860" s="198">
        <v>44874</v>
      </c>
      <c r="C860" s="178">
        <v>84297.17</v>
      </c>
      <c r="D860">
        <f t="shared" si="27"/>
        <v>5.2701536600454624E-3</v>
      </c>
      <c r="E860" s="179">
        <v>32.270000000000003</v>
      </c>
      <c r="F860">
        <f t="shared" si="28"/>
        <v>-4.3196544276455917E-3</v>
      </c>
      <c r="H860" s="179"/>
      <c r="R860" s="199">
        <v>42874</v>
      </c>
      <c r="S860" s="180">
        <v>4.2919999999999998</v>
      </c>
    </row>
    <row r="861" spans="2:19">
      <c r="B861" s="198">
        <v>44875</v>
      </c>
      <c r="C861" s="178">
        <v>83807.78</v>
      </c>
      <c r="D861">
        <f t="shared" si="27"/>
        <v>-5.805532973408245E-3</v>
      </c>
      <c r="E861" s="179">
        <v>32.5</v>
      </c>
      <c r="F861">
        <f t="shared" si="28"/>
        <v>7.1273628757357876E-3</v>
      </c>
      <c r="H861" s="179"/>
      <c r="R861" s="199">
        <v>42877</v>
      </c>
      <c r="S861" s="180">
        <v>4.2919999999999998</v>
      </c>
    </row>
    <row r="862" spans="2:19">
      <c r="B862" s="198">
        <v>44876</v>
      </c>
      <c r="C862" s="178">
        <v>86205.17</v>
      </c>
      <c r="D862">
        <f t="shared" si="27"/>
        <v>2.8605816786937854E-2</v>
      </c>
      <c r="E862" s="179">
        <v>33.53</v>
      </c>
      <c r="F862">
        <f t="shared" si="28"/>
        <v>3.1692307692307686E-2</v>
      </c>
      <c r="H862" s="179"/>
      <c r="R862" s="199">
        <v>42878</v>
      </c>
      <c r="S862" s="180">
        <v>4.2919999999999998</v>
      </c>
    </row>
    <row r="863" spans="2:19">
      <c r="B863" s="198">
        <v>44879</v>
      </c>
      <c r="C863" s="178">
        <v>86206.71</v>
      </c>
      <c r="D863">
        <f t="shared" si="27"/>
        <v>1.7864357787500396E-5</v>
      </c>
      <c r="E863" s="179">
        <v>32.75</v>
      </c>
      <c r="F863">
        <f t="shared" si="28"/>
        <v>-2.3262749776319702E-2</v>
      </c>
      <c r="H863" s="179"/>
      <c r="R863" s="199">
        <v>42879</v>
      </c>
      <c r="S863" s="180">
        <v>4.2919999999999998</v>
      </c>
    </row>
    <row r="864" spans="2:19">
      <c r="B864" s="198">
        <v>44880</v>
      </c>
      <c r="C864" s="178">
        <v>86239.02</v>
      </c>
      <c r="D864">
        <f t="shared" si="27"/>
        <v>3.7479681106034057E-4</v>
      </c>
      <c r="E864" s="179">
        <v>33.130000000000003</v>
      </c>
      <c r="F864">
        <f t="shared" si="28"/>
        <v>1.1603053435114585E-2</v>
      </c>
      <c r="H864" s="179"/>
      <c r="R864" s="199">
        <v>42880</v>
      </c>
      <c r="S864" s="180">
        <v>4.2919999999999998</v>
      </c>
    </row>
    <row r="865" spans="2:19">
      <c r="B865" s="198">
        <v>44881</v>
      </c>
      <c r="C865" s="178">
        <v>86027.4</v>
      </c>
      <c r="D865">
        <f t="shared" si="27"/>
        <v>-2.4538776066798107E-3</v>
      </c>
      <c r="E865" s="179">
        <v>32.29</v>
      </c>
      <c r="F865">
        <f t="shared" si="28"/>
        <v>-2.5354663447026971E-2</v>
      </c>
      <c r="H865" s="179"/>
      <c r="R865" s="199">
        <v>42881</v>
      </c>
      <c r="S865" s="180">
        <v>4.2919999999999998</v>
      </c>
    </row>
    <row r="866" spans="2:19">
      <c r="B866" s="198">
        <v>44882</v>
      </c>
      <c r="C866" s="178">
        <v>86243.88</v>
      </c>
      <c r="D866">
        <f t="shared" si="27"/>
        <v>2.5164075631718408E-3</v>
      </c>
      <c r="E866" s="179">
        <v>32.67</v>
      </c>
      <c r="F866">
        <f t="shared" si="28"/>
        <v>1.1768349334159156E-2</v>
      </c>
      <c r="H866" s="179"/>
      <c r="R866" s="199">
        <v>42884</v>
      </c>
      <c r="S866" s="180">
        <v>4.2919999999999998</v>
      </c>
    </row>
    <row r="867" spans="2:19">
      <c r="B867" s="198">
        <v>44883</v>
      </c>
      <c r="C867" s="178">
        <v>86438.09</v>
      </c>
      <c r="D867">
        <f t="shared" si="27"/>
        <v>2.2518699297850997E-3</v>
      </c>
      <c r="E867" s="179">
        <v>31.9</v>
      </c>
      <c r="F867">
        <f t="shared" si="28"/>
        <v>-2.3569023569023684E-2</v>
      </c>
      <c r="H867" s="179"/>
      <c r="R867" s="199">
        <v>42885</v>
      </c>
      <c r="S867" s="180">
        <v>4.2919999999999998</v>
      </c>
    </row>
    <row r="868" spans="2:19">
      <c r="B868" s="198">
        <v>44886</v>
      </c>
      <c r="C868" s="178">
        <v>86208.54</v>
      </c>
      <c r="D868">
        <f t="shared" si="27"/>
        <v>-2.6556579396884716E-3</v>
      </c>
      <c r="E868" s="179">
        <v>31.56</v>
      </c>
      <c r="F868">
        <f t="shared" si="28"/>
        <v>-1.0658307210031359E-2</v>
      </c>
      <c r="H868" s="179"/>
      <c r="R868" s="199">
        <v>42886</v>
      </c>
      <c r="S868" s="180">
        <v>4.2919999999999998</v>
      </c>
    </row>
    <row r="869" spans="2:19">
      <c r="B869" s="198">
        <v>44887</v>
      </c>
      <c r="C869" s="178">
        <v>86698.68</v>
      </c>
      <c r="D869">
        <f t="shared" si="27"/>
        <v>5.6855156113304606E-3</v>
      </c>
      <c r="E869" s="179">
        <v>31.65</v>
      </c>
      <c r="F869">
        <f t="shared" si="28"/>
        <v>2.8517110266159662E-3</v>
      </c>
      <c r="H869" s="179"/>
      <c r="R869" s="199">
        <v>42887</v>
      </c>
      <c r="S869" s="180">
        <v>4.2919999999999998</v>
      </c>
    </row>
    <row r="870" spans="2:19">
      <c r="B870" s="198">
        <v>44888</v>
      </c>
      <c r="C870" s="178">
        <v>87239.31</v>
      </c>
      <c r="D870">
        <f t="shared" si="27"/>
        <v>6.2357350769355335E-3</v>
      </c>
      <c r="E870" s="179">
        <v>32.21</v>
      </c>
      <c r="F870">
        <f t="shared" si="28"/>
        <v>1.7693522906793158E-2</v>
      </c>
      <c r="H870" s="179"/>
      <c r="R870" s="199">
        <v>42888</v>
      </c>
      <c r="S870" s="180">
        <v>4.2919999999999998</v>
      </c>
    </row>
    <row r="871" spans="2:19">
      <c r="B871" s="198">
        <v>44889</v>
      </c>
      <c r="C871" s="178">
        <v>87359.039999999994</v>
      </c>
      <c r="D871">
        <f t="shared" si="27"/>
        <v>1.3724317626995219E-3</v>
      </c>
      <c r="E871" s="179">
        <v>31.77</v>
      </c>
      <c r="F871">
        <f t="shared" si="28"/>
        <v>-1.3660353927351765E-2</v>
      </c>
      <c r="H871" s="179"/>
      <c r="R871" s="199">
        <v>42891</v>
      </c>
      <c r="S871" s="180">
        <v>4.2919999999999998</v>
      </c>
    </row>
    <row r="872" spans="2:19">
      <c r="B872" s="198">
        <v>44890</v>
      </c>
      <c r="C872" s="178">
        <v>87540.21</v>
      </c>
      <c r="D872">
        <f t="shared" si="27"/>
        <v>2.0738552072001593E-3</v>
      </c>
      <c r="E872" s="179">
        <v>32.01</v>
      </c>
      <c r="F872">
        <f t="shared" si="28"/>
        <v>7.5542965061379252E-3</v>
      </c>
      <c r="H872" s="179"/>
      <c r="R872" s="199">
        <v>42892</v>
      </c>
      <c r="S872" s="180">
        <v>4.2919999999999998</v>
      </c>
    </row>
    <row r="873" spans="2:19">
      <c r="B873" s="198">
        <v>44893</v>
      </c>
      <c r="C873" s="178">
        <v>87198.79</v>
      </c>
      <c r="D873">
        <f t="shared" si="27"/>
        <v>-3.9001505708063933E-3</v>
      </c>
      <c r="E873" s="179">
        <v>31.68</v>
      </c>
      <c r="F873">
        <f t="shared" si="28"/>
        <v>-1.0309278350515427E-2</v>
      </c>
      <c r="H873" s="179"/>
      <c r="R873" s="199">
        <v>42893</v>
      </c>
      <c r="S873" s="180">
        <v>4.2919999999999998</v>
      </c>
    </row>
    <row r="874" spans="2:19">
      <c r="B874" s="198">
        <v>44894</v>
      </c>
      <c r="C874" s="178">
        <v>87477.62</v>
      </c>
      <c r="D874">
        <f t="shared" si="27"/>
        <v>3.1976361139873788E-3</v>
      </c>
      <c r="E874" s="179">
        <v>31.68</v>
      </c>
      <c r="F874">
        <f t="shared" si="28"/>
        <v>0</v>
      </c>
      <c r="H874" s="179"/>
      <c r="R874" s="199">
        <v>42894</v>
      </c>
      <c r="S874" s="180">
        <v>4.2919999999999998</v>
      </c>
    </row>
    <row r="875" spans="2:19">
      <c r="B875" s="198">
        <v>44895</v>
      </c>
      <c r="C875" s="178">
        <v>87937.74</v>
      </c>
      <c r="D875">
        <f t="shared" si="27"/>
        <v>5.2598596075204007E-3</v>
      </c>
      <c r="E875" s="179">
        <v>32.28</v>
      </c>
      <c r="F875">
        <f t="shared" si="28"/>
        <v>1.8939393939394034E-2</v>
      </c>
      <c r="H875" s="179"/>
      <c r="R875" s="199">
        <v>42895</v>
      </c>
      <c r="S875" s="180">
        <v>4.2919999999999998</v>
      </c>
    </row>
    <row r="876" spans="2:19">
      <c r="B876" s="198">
        <v>44896</v>
      </c>
      <c r="C876" s="178">
        <v>88801.8</v>
      </c>
      <c r="D876">
        <f t="shared" si="27"/>
        <v>9.8258154007595522E-3</v>
      </c>
      <c r="E876" s="179">
        <v>31.8</v>
      </c>
      <c r="F876">
        <f t="shared" si="28"/>
        <v>-1.4869888475836479E-2</v>
      </c>
      <c r="H876" s="179"/>
      <c r="R876" s="199">
        <v>42899</v>
      </c>
      <c r="S876" s="180">
        <v>4.2919999999999998</v>
      </c>
    </row>
    <row r="877" spans="2:19">
      <c r="B877" s="198">
        <v>44897</v>
      </c>
      <c r="C877" s="178">
        <v>88207.75</v>
      </c>
      <c r="D877">
        <f t="shared" si="27"/>
        <v>-6.6896166519146982E-3</v>
      </c>
      <c r="E877" s="179">
        <v>32.19</v>
      </c>
      <c r="F877">
        <f t="shared" si="28"/>
        <v>1.2264150943396057E-2</v>
      </c>
      <c r="H877" s="179"/>
      <c r="R877" s="199">
        <v>42900</v>
      </c>
      <c r="S877" s="180">
        <v>4.2919999999999998</v>
      </c>
    </row>
    <row r="878" spans="2:19">
      <c r="B878" s="198">
        <v>44900</v>
      </c>
      <c r="C878" s="178">
        <v>88506.35</v>
      </c>
      <c r="D878">
        <f t="shared" si="27"/>
        <v>3.3851900768357979E-3</v>
      </c>
      <c r="E878" s="179">
        <v>31.99</v>
      </c>
      <c r="F878">
        <f t="shared" si="28"/>
        <v>-6.2131096613855519E-3</v>
      </c>
      <c r="H878" s="179"/>
      <c r="R878" s="199">
        <v>42901</v>
      </c>
      <c r="S878" s="180">
        <v>4.2919999999999998</v>
      </c>
    </row>
    <row r="879" spans="2:19">
      <c r="B879" s="198">
        <v>44901</v>
      </c>
      <c r="C879" s="178">
        <v>88035.55</v>
      </c>
      <c r="D879">
        <f t="shared" si="27"/>
        <v>-5.3193923373859864E-3</v>
      </c>
      <c r="E879" s="179">
        <v>31.55</v>
      </c>
      <c r="F879">
        <f t="shared" si="28"/>
        <v>-1.3754298218193073E-2</v>
      </c>
      <c r="H879" s="179"/>
      <c r="R879" s="199">
        <v>42902</v>
      </c>
      <c r="S879" s="180">
        <v>4.2919999999999998</v>
      </c>
    </row>
    <row r="880" spans="2:19">
      <c r="B880" s="198">
        <v>44902</v>
      </c>
      <c r="C880" s="178">
        <v>87276.5</v>
      </c>
      <c r="D880">
        <f t="shared" si="27"/>
        <v>-8.6220850554122874E-3</v>
      </c>
      <c r="E880" s="179">
        <v>30.84</v>
      </c>
      <c r="F880">
        <f t="shared" si="28"/>
        <v>-2.2503961965134711E-2</v>
      </c>
      <c r="H880" s="179"/>
      <c r="R880" s="199">
        <v>42905</v>
      </c>
      <c r="S880" s="180">
        <v>4.2919999999999998</v>
      </c>
    </row>
    <row r="881" spans="2:19">
      <c r="B881" s="198">
        <v>44903</v>
      </c>
      <c r="C881" s="178">
        <v>86644.91</v>
      </c>
      <c r="D881">
        <f t="shared" si="27"/>
        <v>-7.2366559153952403E-3</v>
      </c>
      <c r="E881" s="179">
        <v>30.42</v>
      </c>
      <c r="F881">
        <f t="shared" si="28"/>
        <v>-1.3618677042801508E-2</v>
      </c>
      <c r="H881" s="179"/>
      <c r="R881" s="199">
        <v>42906</v>
      </c>
      <c r="S881" s="180">
        <v>4.2919999999999998</v>
      </c>
    </row>
    <row r="882" spans="2:19">
      <c r="B882" s="198">
        <v>44904</v>
      </c>
      <c r="C882" s="178">
        <v>87079.33</v>
      </c>
      <c r="D882">
        <f t="shared" si="27"/>
        <v>5.0137971174533114E-3</v>
      </c>
      <c r="E882" s="179">
        <v>30.2</v>
      </c>
      <c r="F882">
        <f t="shared" si="28"/>
        <v>-7.2320841551611892E-3</v>
      </c>
      <c r="H882" s="179"/>
      <c r="R882" s="199">
        <v>42907</v>
      </c>
      <c r="S882" s="180">
        <v>4.2919999999999998</v>
      </c>
    </row>
    <row r="883" spans="2:19">
      <c r="B883" s="198">
        <v>44907</v>
      </c>
      <c r="C883" s="178">
        <v>86659.87</v>
      </c>
      <c r="D883">
        <f t="shared" si="27"/>
        <v>-4.8169869933543108E-3</v>
      </c>
      <c r="E883" s="179">
        <v>30.16</v>
      </c>
      <c r="F883">
        <f t="shared" si="28"/>
        <v>-1.3245033112582183E-3</v>
      </c>
      <c r="H883" s="179"/>
      <c r="R883" s="199">
        <v>42908</v>
      </c>
      <c r="S883" s="180">
        <v>4.2919999999999998</v>
      </c>
    </row>
    <row r="884" spans="2:19">
      <c r="B884" s="198">
        <v>44908</v>
      </c>
      <c r="C884" s="178">
        <v>86877.75</v>
      </c>
      <c r="D884">
        <f t="shared" si="27"/>
        <v>2.5141971710782585E-3</v>
      </c>
      <c r="E884" s="179">
        <v>30.64</v>
      </c>
      <c r="F884">
        <f t="shared" si="28"/>
        <v>1.5915119363395291E-2</v>
      </c>
      <c r="H884" s="179"/>
      <c r="R884" s="199">
        <v>42909</v>
      </c>
      <c r="S884" s="180">
        <v>4.2919999999999998</v>
      </c>
    </row>
    <row r="885" spans="2:19">
      <c r="B885" s="198">
        <v>44909</v>
      </c>
      <c r="C885" s="178">
        <v>87460.81</v>
      </c>
      <c r="D885">
        <f t="shared" si="27"/>
        <v>6.7112695713229531E-3</v>
      </c>
      <c r="E885" s="179">
        <v>30.9</v>
      </c>
      <c r="F885">
        <f t="shared" si="28"/>
        <v>8.4856396866839212E-3</v>
      </c>
      <c r="H885" s="179"/>
      <c r="R885" s="199">
        <v>42912</v>
      </c>
      <c r="S885" s="180">
        <v>4.2919999999999998</v>
      </c>
    </row>
    <row r="886" spans="2:19">
      <c r="B886" s="198">
        <v>44910</v>
      </c>
      <c r="C886" s="178">
        <v>86891.79</v>
      </c>
      <c r="D886">
        <f t="shared" si="27"/>
        <v>-6.5059996585900004E-3</v>
      </c>
      <c r="E886" s="179">
        <v>30.68</v>
      </c>
      <c r="F886">
        <f t="shared" si="28"/>
        <v>-7.11974110032354E-3</v>
      </c>
      <c r="H886" s="179"/>
      <c r="R886" s="199">
        <v>42913</v>
      </c>
      <c r="S886" s="180">
        <v>4.2919999999999998</v>
      </c>
    </row>
    <row r="887" spans="2:19">
      <c r="B887" s="198">
        <v>44911</v>
      </c>
      <c r="C887" s="178">
        <v>86259.04</v>
      </c>
      <c r="D887">
        <f t="shared" si="27"/>
        <v>-7.2820458641720265E-3</v>
      </c>
      <c r="E887" s="179">
        <v>30.38</v>
      </c>
      <c r="F887">
        <f t="shared" si="28"/>
        <v>-9.778357235984414E-3</v>
      </c>
      <c r="H887" s="179"/>
      <c r="R887" s="199">
        <v>42914</v>
      </c>
      <c r="S887" s="180">
        <v>4.2919999999999998</v>
      </c>
    </row>
    <row r="888" spans="2:19">
      <c r="B888" s="198">
        <v>44914</v>
      </c>
      <c r="C888" s="178">
        <v>86076.25</v>
      </c>
      <c r="D888">
        <f t="shared" si="27"/>
        <v>-2.1190822434378198E-3</v>
      </c>
      <c r="E888" s="179">
        <v>30.76</v>
      </c>
      <c r="F888">
        <f t="shared" si="28"/>
        <v>1.2508229098090906E-2</v>
      </c>
      <c r="H888" s="179"/>
      <c r="R888" s="199">
        <v>42915</v>
      </c>
      <c r="S888" s="180">
        <v>4.2919999999999998</v>
      </c>
    </row>
    <row r="889" spans="2:19">
      <c r="B889" s="198">
        <v>44915</v>
      </c>
      <c r="C889" s="178">
        <v>84652.800000000003</v>
      </c>
      <c r="D889">
        <f t="shared" si="27"/>
        <v>-1.6537081947691656E-2</v>
      </c>
      <c r="E889" s="179">
        <v>29.56</v>
      </c>
      <c r="F889">
        <f t="shared" si="28"/>
        <v>-3.901170351105343E-2</v>
      </c>
      <c r="H889" s="179"/>
      <c r="R889" s="199">
        <v>42916</v>
      </c>
      <c r="S889" s="180">
        <v>4.2919999999999998</v>
      </c>
    </row>
    <row r="890" spans="2:19">
      <c r="B890" s="198">
        <v>44916</v>
      </c>
      <c r="C890" s="178">
        <v>85751.71</v>
      </c>
      <c r="D890">
        <f t="shared" si="27"/>
        <v>1.2981378052468573E-2</v>
      </c>
      <c r="E890" s="179">
        <v>29.75</v>
      </c>
      <c r="F890">
        <f t="shared" si="28"/>
        <v>6.4276048714480005E-3</v>
      </c>
      <c r="H890" s="179"/>
      <c r="R890" s="199">
        <v>42919</v>
      </c>
      <c r="S890" s="180">
        <v>4.2919999999999998</v>
      </c>
    </row>
    <row r="891" spans="2:19">
      <c r="B891" s="198">
        <v>44917</v>
      </c>
      <c r="C891" s="178">
        <v>86247.38</v>
      </c>
      <c r="D891">
        <f t="shared" si="27"/>
        <v>5.7802928944508114E-3</v>
      </c>
      <c r="E891" s="179">
        <v>30.27</v>
      </c>
      <c r="F891">
        <f t="shared" si="28"/>
        <v>1.7478991596638682E-2</v>
      </c>
      <c r="H891" s="179"/>
      <c r="R891" s="199">
        <v>42920</v>
      </c>
      <c r="S891" s="180">
        <v>4.2919999999999998</v>
      </c>
    </row>
    <row r="892" spans="2:19">
      <c r="B892" s="198">
        <v>44918</v>
      </c>
      <c r="C892" s="178">
        <v>85690.53</v>
      </c>
      <c r="D892">
        <f t="shared" si="27"/>
        <v>-6.4564280097552107E-3</v>
      </c>
      <c r="E892" s="179">
        <v>30.18</v>
      </c>
      <c r="F892">
        <f t="shared" si="28"/>
        <v>-2.9732408325073845E-3</v>
      </c>
      <c r="H892" s="179"/>
      <c r="R892" s="199">
        <v>42921</v>
      </c>
      <c r="S892" s="180">
        <v>4.2919999999999998</v>
      </c>
    </row>
    <row r="893" spans="2:19">
      <c r="B893" s="198">
        <v>44923</v>
      </c>
      <c r="C893" s="178">
        <v>85388.95</v>
      </c>
      <c r="D893">
        <f t="shared" si="27"/>
        <v>-3.5194087374649241E-3</v>
      </c>
      <c r="E893" s="179">
        <v>29.78</v>
      </c>
      <c r="F893">
        <f t="shared" si="28"/>
        <v>-1.3253810470510219E-2</v>
      </c>
      <c r="H893" s="179"/>
      <c r="R893" s="199">
        <v>42922</v>
      </c>
      <c r="S893" s="180">
        <v>4.2919999999999998</v>
      </c>
    </row>
    <row r="894" spans="2:19">
      <c r="B894" s="198">
        <v>44924</v>
      </c>
      <c r="C894" s="178">
        <v>84746.54</v>
      </c>
      <c r="D894">
        <f t="shared" si="27"/>
        <v>-7.5233387926658679E-3</v>
      </c>
      <c r="E894" s="179">
        <v>29.94</v>
      </c>
      <c r="F894">
        <f t="shared" si="28"/>
        <v>5.3727333781061759E-3</v>
      </c>
      <c r="H894" s="179"/>
      <c r="R894" s="199">
        <v>42923</v>
      </c>
      <c r="S894" s="180">
        <v>4.2919999999999998</v>
      </c>
    </row>
    <row r="895" spans="2:19">
      <c r="B895" s="198">
        <v>44925</v>
      </c>
      <c r="C895" s="178">
        <v>85033.52</v>
      </c>
      <c r="D895">
        <f t="shared" si="27"/>
        <v>3.3863329405543485E-3</v>
      </c>
      <c r="E895" s="179">
        <v>29.97</v>
      </c>
      <c r="F895">
        <f t="shared" si="28"/>
        <v>1.0020040080158665E-3</v>
      </c>
      <c r="H895" s="179"/>
      <c r="R895" s="199">
        <v>42926</v>
      </c>
      <c r="S895" s="180">
        <v>4.2919999999999998</v>
      </c>
    </row>
    <row r="896" spans="2:19">
      <c r="B896" s="198">
        <v>44929</v>
      </c>
      <c r="C896" s="178">
        <v>83967.43</v>
      </c>
      <c r="D896">
        <f t="shared" si="27"/>
        <v>-1.2537291176467957E-2</v>
      </c>
      <c r="E896" s="179">
        <v>29.61</v>
      </c>
      <c r="F896">
        <f t="shared" si="28"/>
        <v>-1.2012012012011963E-2</v>
      </c>
      <c r="H896" s="179"/>
      <c r="R896" s="199">
        <v>42927</v>
      </c>
      <c r="S896" s="180">
        <v>4.2919999999999998</v>
      </c>
    </row>
    <row r="897" spans="2:19">
      <c r="B897" s="198">
        <v>44930</v>
      </c>
      <c r="C897" s="178">
        <v>85356.39</v>
      </c>
      <c r="D897">
        <f t="shared" si="27"/>
        <v>1.6541651923847267E-2</v>
      </c>
      <c r="E897" s="179">
        <v>30.26</v>
      </c>
      <c r="F897">
        <f t="shared" si="28"/>
        <v>2.1952043228639084E-2</v>
      </c>
      <c r="H897" s="179"/>
      <c r="R897" s="199">
        <v>42928</v>
      </c>
      <c r="S897" s="180">
        <v>4.2919999999999998</v>
      </c>
    </row>
    <row r="898" spans="2:19">
      <c r="B898" s="198">
        <v>44931</v>
      </c>
      <c r="C898" s="178">
        <v>85476.59</v>
      </c>
      <c r="D898">
        <f t="shared" si="27"/>
        <v>1.4082132573787209E-3</v>
      </c>
      <c r="E898" s="179">
        <v>30.11</v>
      </c>
      <c r="F898">
        <f t="shared" si="28"/>
        <v>-4.957038995373475E-3</v>
      </c>
      <c r="H898" s="179"/>
      <c r="R898" s="199">
        <v>42929</v>
      </c>
      <c r="S898" s="180">
        <v>4.2919999999999998</v>
      </c>
    </row>
    <row r="899" spans="2:19">
      <c r="B899" s="198">
        <v>44932</v>
      </c>
      <c r="C899" s="178">
        <v>86058.68</v>
      </c>
      <c r="D899">
        <f t="shared" si="27"/>
        <v>6.8099347435361945E-3</v>
      </c>
      <c r="E899" s="179">
        <v>29.95</v>
      </c>
      <c r="F899">
        <f t="shared" si="28"/>
        <v>-5.3138492195283771E-3</v>
      </c>
      <c r="H899" s="179"/>
      <c r="R899" s="199">
        <v>42930</v>
      </c>
      <c r="S899" s="180">
        <v>4.2919999999999998</v>
      </c>
    </row>
    <row r="900" spans="2:19">
      <c r="B900" s="198">
        <v>44935</v>
      </c>
      <c r="C900" s="178">
        <v>86612.800000000003</v>
      </c>
      <c r="D900">
        <f t="shared" si="27"/>
        <v>6.4388624134137373E-3</v>
      </c>
      <c r="E900" s="179">
        <v>30.45</v>
      </c>
      <c r="F900">
        <f t="shared" si="28"/>
        <v>1.6694490818029983E-2</v>
      </c>
      <c r="H900" s="179"/>
      <c r="R900" s="199">
        <v>42933</v>
      </c>
      <c r="S900" s="180">
        <v>4.2919999999999998</v>
      </c>
    </row>
    <row r="901" spans="2:19">
      <c r="B901" s="198">
        <v>44936</v>
      </c>
      <c r="C901" s="178">
        <v>86389.65</v>
      </c>
      <c r="D901">
        <f t="shared" si="27"/>
        <v>-2.5764090296123143E-3</v>
      </c>
      <c r="E901" s="179">
        <v>30.46</v>
      </c>
      <c r="F901">
        <f t="shared" si="28"/>
        <v>3.284072249589709E-4</v>
      </c>
      <c r="H901" s="179"/>
      <c r="R901" s="199">
        <v>42934</v>
      </c>
      <c r="S901" s="180">
        <v>4.2919999999999998</v>
      </c>
    </row>
    <row r="902" spans="2:19">
      <c r="B902" s="198">
        <v>44937</v>
      </c>
      <c r="C902" s="178">
        <v>87211.54</v>
      </c>
      <c r="D902">
        <f t="shared" si="27"/>
        <v>9.5137554093573939E-3</v>
      </c>
      <c r="E902" s="179">
        <v>30.78</v>
      </c>
      <c r="F902">
        <f t="shared" si="28"/>
        <v>1.0505581089954141E-2</v>
      </c>
      <c r="H902" s="179"/>
      <c r="R902" s="199">
        <v>42935</v>
      </c>
      <c r="S902" s="180">
        <v>4.2919999999999998</v>
      </c>
    </row>
    <row r="903" spans="2:19">
      <c r="B903" s="198">
        <v>44938</v>
      </c>
      <c r="C903" s="178">
        <v>88194.28</v>
      </c>
      <c r="D903">
        <f t="shared" si="27"/>
        <v>1.1268462866267592E-2</v>
      </c>
      <c r="E903" s="179">
        <v>30.76</v>
      </c>
      <c r="F903">
        <f t="shared" si="28"/>
        <v>-6.4977257959708545E-4</v>
      </c>
      <c r="H903" s="179"/>
      <c r="R903" s="199">
        <v>42936</v>
      </c>
      <c r="S903" s="180">
        <v>4.2919999999999998</v>
      </c>
    </row>
    <row r="904" spans="2:19">
      <c r="B904" s="198">
        <v>44939</v>
      </c>
      <c r="C904" s="178">
        <v>88785.56</v>
      </c>
      <c r="D904">
        <f t="shared" ref="D904:D967" si="29">(C904/C903)-1</f>
        <v>6.7042896659510465E-3</v>
      </c>
      <c r="E904" s="179">
        <v>30.71</v>
      </c>
      <c r="F904">
        <f t="shared" ref="F904:F967" si="30">(E904/E903)-1</f>
        <v>-1.6254876462938883E-3</v>
      </c>
      <c r="H904" s="179"/>
      <c r="R904" s="199">
        <v>42937</v>
      </c>
      <c r="S904" s="180">
        <v>4.2919999999999998</v>
      </c>
    </row>
    <row r="905" spans="2:19">
      <c r="B905" s="198">
        <v>44942</v>
      </c>
      <c r="C905" s="178">
        <v>89550</v>
      </c>
      <c r="D905">
        <f t="shared" si="29"/>
        <v>8.6099586464285505E-3</v>
      </c>
      <c r="E905" s="179">
        <v>31.28</v>
      </c>
      <c r="F905">
        <f t="shared" si="30"/>
        <v>1.8560729404102805E-2</v>
      </c>
      <c r="H905" s="179"/>
      <c r="R905" s="199">
        <v>42940</v>
      </c>
      <c r="S905" s="180">
        <v>4.2919999999999998</v>
      </c>
    </row>
    <row r="906" spans="2:19">
      <c r="B906" s="198">
        <v>44943</v>
      </c>
      <c r="C906" s="178">
        <v>89462.81</v>
      </c>
      <c r="D906">
        <f t="shared" si="29"/>
        <v>-9.7364600781690847E-4</v>
      </c>
      <c r="E906" s="179">
        <v>31.37</v>
      </c>
      <c r="F906">
        <f t="shared" si="30"/>
        <v>2.8772378516623842E-3</v>
      </c>
      <c r="H906" s="179"/>
      <c r="R906" s="199">
        <v>42941</v>
      </c>
      <c r="S906" s="180">
        <v>4.2919999999999998</v>
      </c>
    </row>
    <row r="907" spans="2:19">
      <c r="B907" s="198">
        <v>44944</v>
      </c>
      <c r="C907" s="178">
        <v>89603.64</v>
      </c>
      <c r="D907">
        <f t="shared" si="29"/>
        <v>1.5741736706011977E-3</v>
      </c>
      <c r="E907" s="179">
        <v>31.37</v>
      </c>
      <c r="F907">
        <f t="shared" si="30"/>
        <v>0</v>
      </c>
      <c r="H907" s="179"/>
      <c r="R907" s="199">
        <v>42942</v>
      </c>
      <c r="S907" s="180">
        <v>4.2919999999999998</v>
      </c>
    </row>
    <row r="908" spans="2:19">
      <c r="B908" s="198">
        <v>44945</v>
      </c>
      <c r="C908" s="178">
        <v>90061.04</v>
      </c>
      <c r="D908">
        <f t="shared" si="29"/>
        <v>5.1047033357125571E-3</v>
      </c>
      <c r="E908" s="179">
        <v>31.66</v>
      </c>
      <c r="F908">
        <f t="shared" si="30"/>
        <v>9.2445011157156198E-3</v>
      </c>
      <c r="H908" s="179"/>
      <c r="R908" s="199">
        <v>42943</v>
      </c>
      <c r="S908" s="180">
        <v>4.2919999999999998</v>
      </c>
    </row>
    <row r="909" spans="2:19">
      <c r="B909" s="198">
        <v>44946</v>
      </c>
      <c r="C909" s="178">
        <v>90271.71</v>
      </c>
      <c r="D909">
        <f t="shared" si="29"/>
        <v>2.339191286265585E-3</v>
      </c>
      <c r="E909" s="179">
        <v>31.45</v>
      </c>
      <c r="F909">
        <f t="shared" si="30"/>
        <v>-6.6329753632343724E-3</v>
      </c>
      <c r="H909" s="179"/>
      <c r="R909" s="199">
        <v>42944</v>
      </c>
      <c r="S909" s="180">
        <v>4.2919999999999998</v>
      </c>
    </row>
    <row r="910" spans="2:19">
      <c r="B910" s="198">
        <v>44949</v>
      </c>
      <c r="C910" s="178">
        <v>90364.81</v>
      </c>
      <c r="D910">
        <f t="shared" si="29"/>
        <v>1.0313308565883528E-3</v>
      </c>
      <c r="E910" s="179">
        <v>31.51</v>
      </c>
      <c r="F910">
        <f t="shared" si="30"/>
        <v>1.907790143084398E-3</v>
      </c>
      <c r="H910" s="179"/>
      <c r="R910" s="199">
        <v>42947</v>
      </c>
      <c r="S910" s="180">
        <v>4.2919999999999998</v>
      </c>
    </row>
    <row r="911" spans="2:19">
      <c r="B911" s="198">
        <v>44950</v>
      </c>
      <c r="C911" s="178">
        <v>90791.98</v>
      </c>
      <c r="D911">
        <f t="shared" si="29"/>
        <v>4.7271720042347809E-3</v>
      </c>
      <c r="E911" s="179">
        <v>31.89</v>
      </c>
      <c r="F911">
        <f t="shared" si="30"/>
        <v>1.2059663598857462E-2</v>
      </c>
      <c r="H911" s="179"/>
      <c r="R911" s="199">
        <v>42948</v>
      </c>
      <c r="S911" s="180">
        <v>4.2919999999999998</v>
      </c>
    </row>
    <row r="912" spans="2:19">
      <c r="B912" s="198">
        <v>44951</v>
      </c>
      <c r="C912" s="178">
        <v>90527.55</v>
      </c>
      <c r="D912">
        <f t="shared" si="29"/>
        <v>-2.9124819174556338E-3</v>
      </c>
      <c r="E912" s="179">
        <v>31.7</v>
      </c>
      <c r="F912">
        <f t="shared" si="30"/>
        <v>-5.9579805581687628E-3</v>
      </c>
      <c r="H912" s="179"/>
      <c r="R912" s="199">
        <v>42949</v>
      </c>
      <c r="S912" s="180">
        <v>4.2919999999999998</v>
      </c>
    </row>
    <row r="913" spans="2:19">
      <c r="B913" s="198">
        <v>44953</v>
      </c>
      <c r="C913" s="178">
        <v>90781.119999999995</v>
      </c>
      <c r="D913">
        <f t="shared" si="29"/>
        <v>2.8010257650847858E-3</v>
      </c>
      <c r="E913" s="179">
        <v>31.53</v>
      </c>
      <c r="F913">
        <f t="shared" si="30"/>
        <v>-5.3627760252364931E-3</v>
      </c>
      <c r="H913" s="179"/>
      <c r="R913" s="199">
        <v>42950</v>
      </c>
      <c r="S913" s="180">
        <v>4.2919999999999998</v>
      </c>
    </row>
    <row r="914" spans="2:19">
      <c r="B914" s="198">
        <v>44956</v>
      </c>
      <c r="C914" s="178">
        <v>90673.279999999999</v>
      </c>
      <c r="D914">
        <f t="shared" si="29"/>
        <v>-1.1879122002460551E-3</v>
      </c>
      <c r="E914" s="179">
        <v>31.6</v>
      </c>
      <c r="F914">
        <f t="shared" si="30"/>
        <v>2.220107833809104E-3</v>
      </c>
      <c r="H914" s="179"/>
      <c r="R914" s="199">
        <v>42951</v>
      </c>
      <c r="S914" s="180">
        <v>4.2919999999999998</v>
      </c>
    </row>
    <row r="915" spans="2:19">
      <c r="B915" s="198">
        <v>44957</v>
      </c>
      <c r="C915" s="178">
        <v>90505.75</v>
      </c>
      <c r="D915">
        <f t="shared" si="29"/>
        <v>-1.847622585176123E-3</v>
      </c>
      <c r="E915" s="179">
        <v>31.58</v>
      </c>
      <c r="F915">
        <f t="shared" si="30"/>
        <v>-6.3291139240517769E-4</v>
      </c>
      <c r="H915" s="179"/>
      <c r="R915" s="199">
        <v>42954</v>
      </c>
      <c r="S915" s="180">
        <v>4.2919999999999998</v>
      </c>
    </row>
    <row r="916" spans="2:19">
      <c r="B916" s="198">
        <v>44958</v>
      </c>
      <c r="C916" s="178">
        <v>90782.7</v>
      </c>
      <c r="D916">
        <f t="shared" si="29"/>
        <v>3.0600265728972786E-3</v>
      </c>
      <c r="E916" s="179">
        <v>31.32</v>
      </c>
      <c r="F916">
        <f t="shared" si="30"/>
        <v>-8.2330588980367159E-3</v>
      </c>
      <c r="H916" s="179"/>
      <c r="R916" s="199">
        <v>42955</v>
      </c>
      <c r="S916" s="180">
        <v>4.2919999999999998</v>
      </c>
    </row>
    <row r="917" spans="2:19">
      <c r="B917" s="198">
        <v>44959</v>
      </c>
      <c r="C917" s="178">
        <v>91004.93</v>
      </c>
      <c r="D917">
        <f t="shared" si="29"/>
        <v>2.4479333617528631E-3</v>
      </c>
      <c r="E917" s="179">
        <v>31.4</v>
      </c>
      <c r="F917">
        <f t="shared" si="30"/>
        <v>2.5542784163472554E-3</v>
      </c>
      <c r="H917" s="179"/>
      <c r="R917" s="199">
        <v>42956</v>
      </c>
      <c r="S917" s="180">
        <v>4.2919999999999998</v>
      </c>
    </row>
    <row r="918" spans="2:19">
      <c r="B918" s="198">
        <v>44960</v>
      </c>
      <c r="C918" s="178">
        <v>91514.65</v>
      </c>
      <c r="D918">
        <f t="shared" si="29"/>
        <v>5.6010152417016457E-3</v>
      </c>
      <c r="E918" s="179">
        <v>31.84</v>
      </c>
      <c r="F918">
        <f t="shared" si="30"/>
        <v>1.4012738853503182E-2</v>
      </c>
      <c r="H918" s="179"/>
      <c r="R918" s="199">
        <v>42957</v>
      </c>
      <c r="S918" s="180">
        <v>4.2919999999999998</v>
      </c>
    </row>
    <row r="919" spans="2:19">
      <c r="B919" s="198">
        <v>44963</v>
      </c>
      <c r="C919" s="178">
        <v>91209.81</v>
      </c>
      <c r="D919">
        <f t="shared" si="29"/>
        <v>-3.331051367185478E-3</v>
      </c>
      <c r="E919" s="179">
        <v>31.14</v>
      </c>
      <c r="F919">
        <f t="shared" si="30"/>
        <v>-2.198492462311552E-2</v>
      </c>
      <c r="H919" s="179"/>
      <c r="R919" s="199">
        <v>42958</v>
      </c>
      <c r="S919" s="180">
        <v>4.2919999999999998</v>
      </c>
    </row>
    <row r="920" spans="2:19">
      <c r="B920" s="198">
        <v>44964</v>
      </c>
      <c r="C920" s="178">
        <v>90822.78</v>
      </c>
      <c r="D920">
        <f t="shared" si="29"/>
        <v>-4.2432935667775507E-3</v>
      </c>
      <c r="E920" s="179">
        <v>30.1</v>
      </c>
      <c r="F920">
        <f t="shared" si="30"/>
        <v>-3.3397559409120037E-2</v>
      </c>
      <c r="H920" s="179"/>
      <c r="R920" s="199">
        <v>42961</v>
      </c>
      <c r="S920" s="180">
        <v>4.2919999999999998</v>
      </c>
    </row>
    <row r="921" spans="2:19">
      <c r="B921" s="198">
        <v>44965</v>
      </c>
      <c r="C921" s="178">
        <v>91146.76</v>
      </c>
      <c r="D921">
        <f t="shared" si="29"/>
        <v>3.5671667394456819E-3</v>
      </c>
      <c r="E921" s="179">
        <v>29.21</v>
      </c>
      <c r="F921">
        <f t="shared" si="30"/>
        <v>-2.9568106312292342E-2</v>
      </c>
      <c r="H921" s="179"/>
      <c r="R921" s="199">
        <v>42962</v>
      </c>
      <c r="S921" s="180">
        <v>4.2919999999999998</v>
      </c>
    </row>
    <row r="922" spans="2:19">
      <c r="B922" s="198">
        <v>44966</v>
      </c>
      <c r="C922" s="178">
        <v>90626.63</v>
      </c>
      <c r="D922">
        <f t="shared" si="29"/>
        <v>-5.7065111255736323E-3</v>
      </c>
      <c r="E922" s="179">
        <v>28.84</v>
      </c>
      <c r="F922">
        <f t="shared" si="30"/>
        <v>-1.2666894899007186E-2</v>
      </c>
      <c r="H922" s="179"/>
      <c r="R922" s="199">
        <v>42963</v>
      </c>
      <c r="S922" s="180">
        <v>4.2919999999999998</v>
      </c>
    </row>
    <row r="923" spans="2:19">
      <c r="B923" s="198">
        <v>44967</v>
      </c>
      <c r="C923" s="178">
        <v>89865.71</v>
      </c>
      <c r="D923">
        <f t="shared" si="29"/>
        <v>-8.3962076047625622E-3</v>
      </c>
      <c r="E923" s="179">
        <v>28.78</v>
      </c>
      <c r="F923">
        <f t="shared" si="30"/>
        <v>-2.0804438280166426E-3</v>
      </c>
      <c r="H923" s="179"/>
      <c r="R923" s="199">
        <v>42964</v>
      </c>
      <c r="S923" s="180">
        <v>4.2919999999999998</v>
      </c>
    </row>
    <row r="924" spans="2:19">
      <c r="B924" s="198">
        <v>44970</v>
      </c>
      <c r="C924" s="178">
        <v>89670.29</v>
      </c>
      <c r="D924">
        <f t="shared" si="29"/>
        <v>-2.1745780453970021E-3</v>
      </c>
      <c r="E924" s="179">
        <v>28.3</v>
      </c>
      <c r="F924">
        <f t="shared" si="30"/>
        <v>-1.6678248783877692E-2</v>
      </c>
      <c r="H924" s="179"/>
      <c r="R924" s="199">
        <v>42965</v>
      </c>
      <c r="S924" s="180">
        <v>4.2919999999999998</v>
      </c>
    </row>
    <row r="925" spans="2:19">
      <c r="B925" s="198">
        <v>44971</v>
      </c>
      <c r="C925" s="178">
        <v>89851.03</v>
      </c>
      <c r="D925">
        <f t="shared" si="29"/>
        <v>2.0156062838649902E-3</v>
      </c>
      <c r="E925" s="179">
        <v>28.68</v>
      </c>
      <c r="F925">
        <f t="shared" si="30"/>
        <v>1.3427561837455748E-2</v>
      </c>
      <c r="H925" s="179"/>
      <c r="R925" s="199">
        <v>42968</v>
      </c>
      <c r="S925" s="180">
        <v>4.2919999999999998</v>
      </c>
    </row>
    <row r="926" spans="2:19">
      <c r="B926" s="198">
        <v>44972</v>
      </c>
      <c r="C926" s="178">
        <v>89032.55</v>
      </c>
      <c r="D926">
        <f t="shared" si="29"/>
        <v>-9.1093001382398509E-3</v>
      </c>
      <c r="E926" s="179">
        <v>29.06</v>
      </c>
      <c r="F926">
        <f t="shared" si="30"/>
        <v>1.3249651324965139E-2</v>
      </c>
      <c r="H926" s="179"/>
      <c r="R926" s="199">
        <v>42969</v>
      </c>
      <c r="S926" s="180">
        <v>4.2919999999999998</v>
      </c>
    </row>
    <row r="927" spans="2:19">
      <c r="B927" s="198">
        <v>44973</v>
      </c>
      <c r="C927" s="178">
        <v>89779.09</v>
      </c>
      <c r="D927">
        <f t="shared" si="29"/>
        <v>8.3850232302680183E-3</v>
      </c>
      <c r="E927" s="179">
        <v>33.200000000000003</v>
      </c>
      <c r="F927">
        <f t="shared" si="30"/>
        <v>0.14246386785960108</v>
      </c>
      <c r="H927" s="179"/>
      <c r="R927" s="199">
        <v>42970</v>
      </c>
      <c r="S927" s="180">
        <v>4.2919999999999998</v>
      </c>
    </row>
    <row r="928" spans="2:19">
      <c r="B928" s="198">
        <v>44974</v>
      </c>
      <c r="C928" s="178">
        <v>88972.6</v>
      </c>
      <c r="D928">
        <f t="shared" si="29"/>
        <v>-8.9830493937952394E-3</v>
      </c>
      <c r="E928" s="179">
        <v>33.450000000000003</v>
      </c>
      <c r="F928">
        <f t="shared" si="30"/>
        <v>7.5301204819278045E-3</v>
      </c>
      <c r="H928" s="179"/>
      <c r="R928" s="199">
        <v>42971</v>
      </c>
      <c r="S928" s="180">
        <v>4.2919999999999998</v>
      </c>
    </row>
    <row r="929" spans="2:19">
      <c r="B929" s="198">
        <v>44977</v>
      </c>
      <c r="C929" s="178">
        <v>89027.67</v>
      </c>
      <c r="D929">
        <f t="shared" si="29"/>
        <v>6.1895459950589427E-4</v>
      </c>
      <c r="E929" s="179">
        <v>32.770000000000003</v>
      </c>
      <c r="F929">
        <f t="shared" si="30"/>
        <v>-2.0328849028400597E-2</v>
      </c>
      <c r="H929" s="179"/>
      <c r="R929" s="199">
        <v>42972</v>
      </c>
      <c r="S929" s="180">
        <v>4.2919999999999998</v>
      </c>
    </row>
    <row r="930" spans="2:19">
      <c r="B930" s="198">
        <v>44978</v>
      </c>
      <c r="C930" s="178">
        <v>88957.28</v>
      </c>
      <c r="D930">
        <f t="shared" si="29"/>
        <v>-7.9065306325554197E-4</v>
      </c>
      <c r="E930" s="179">
        <v>32.72</v>
      </c>
      <c r="F930">
        <f t="shared" si="30"/>
        <v>-1.5257857796766583E-3</v>
      </c>
      <c r="H930" s="179"/>
      <c r="R930" s="199">
        <v>42975</v>
      </c>
      <c r="S930" s="180">
        <v>4.2919999999999998</v>
      </c>
    </row>
    <row r="931" spans="2:19">
      <c r="B931" s="198">
        <v>44979</v>
      </c>
      <c r="C931" s="178">
        <v>88767.33</v>
      </c>
      <c r="D931">
        <f t="shared" si="29"/>
        <v>-2.1352946043313725E-3</v>
      </c>
      <c r="E931" s="179">
        <v>32.700000000000003</v>
      </c>
      <c r="F931">
        <f t="shared" si="30"/>
        <v>-6.1124694376513133E-4</v>
      </c>
      <c r="H931" s="179"/>
      <c r="R931" s="199">
        <v>42976</v>
      </c>
      <c r="S931" s="180">
        <v>4.2919999999999998</v>
      </c>
    </row>
    <row r="932" spans="2:19">
      <c r="B932" s="198">
        <v>44980</v>
      </c>
      <c r="C932" s="178">
        <v>88499.01</v>
      </c>
      <c r="D932">
        <f t="shared" si="29"/>
        <v>-3.022733701689706E-3</v>
      </c>
      <c r="E932" s="179">
        <v>33.229999999999997</v>
      </c>
      <c r="F932">
        <f t="shared" si="30"/>
        <v>1.6207951070336124E-2</v>
      </c>
      <c r="H932" s="179"/>
      <c r="R932" s="199">
        <v>42977</v>
      </c>
      <c r="S932" s="180">
        <v>4.2919999999999998</v>
      </c>
    </row>
    <row r="933" spans="2:19">
      <c r="B933" s="198">
        <v>44981</v>
      </c>
      <c r="C933" s="178">
        <v>88755.18</v>
      </c>
      <c r="D933">
        <f t="shared" si="29"/>
        <v>2.8946086515544422E-3</v>
      </c>
      <c r="E933" s="179">
        <v>33.1</v>
      </c>
      <c r="F933">
        <f t="shared" si="30"/>
        <v>-3.9121275955460444E-3</v>
      </c>
      <c r="H933" s="179"/>
      <c r="R933" s="199">
        <v>42978</v>
      </c>
      <c r="S933" s="180">
        <v>4.2919999999999998</v>
      </c>
    </row>
    <row r="934" spans="2:19">
      <c r="B934" s="198">
        <v>44984</v>
      </c>
      <c r="C934" s="178">
        <v>87776.93</v>
      </c>
      <c r="D934">
        <f t="shared" si="29"/>
        <v>-1.10218919053513E-2</v>
      </c>
      <c r="E934" s="179">
        <v>32.83</v>
      </c>
      <c r="F934">
        <f t="shared" si="30"/>
        <v>-8.1570996978852506E-3</v>
      </c>
      <c r="H934" s="179"/>
      <c r="R934" s="199">
        <v>42979</v>
      </c>
      <c r="S934" s="180">
        <v>4.2919999999999998</v>
      </c>
    </row>
    <row r="935" spans="2:19">
      <c r="B935" s="198">
        <v>44985</v>
      </c>
      <c r="C935" s="178">
        <v>88258.41</v>
      </c>
      <c r="D935">
        <f t="shared" si="29"/>
        <v>5.4852681678432269E-3</v>
      </c>
      <c r="E935" s="179">
        <v>32.21</v>
      </c>
      <c r="F935">
        <f t="shared" si="30"/>
        <v>-1.8885166006701093E-2</v>
      </c>
      <c r="H935" s="179"/>
      <c r="R935" s="199">
        <v>42982</v>
      </c>
      <c r="S935" s="180">
        <v>4.2919999999999998</v>
      </c>
    </row>
    <row r="936" spans="2:19">
      <c r="B936" s="198">
        <v>44986</v>
      </c>
      <c r="C936" s="178">
        <v>88290.38</v>
      </c>
      <c r="D936">
        <f t="shared" si="29"/>
        <v>3.6223176918781519E-4</v>
      </c>
      <c r="E936" s="179">
        <v>32.04</v>
      </c>
      <c r="F936">
        <f t="shared" si="30"/>
        <v>-5.277864017385947E-3</v>
      </c>
      <c r="H936" s="179"/>
      <c r="R936" s="199">
        <v>42983</v>
      </c>
      <c r="S936" s="180">
        <v>4.2919999999999998</v>
      </c>
    </row>
    <row r="937" spans="2:19">
      <c r="B937" s="198">
        <v>44987</v>
      </c>
      <c r="C937" s="178">
        <v>88402.71</v>
      </c>
      <c r="D937">
        <f t="shared" si="29"/>
        <v>1.2722790410462093E-3</v>
      </c>
      <c r="E937" s="179">
        <v>31.81</v>
      </c>
      <c r="F937">
        <f t="shared" si="30"/>
        <v>-7.1785268414481518E-3</v>
      </c>
      <c r="H937" s="179"/>
      <c r="R937" s="199">
        <v>42984</v>
      </c>
      <c r="S937" s="180">
        <v>4.2919999999999998</v>
      </c>
    </row>
    <row r="938" spans="2:19">
      <c r="B938" s="198">
        <v>44988</v>
      </c>
      <c r="C938" s="178">
        <v>88705.42</v>
      </c>
      <c r="D938">
        <f t="shared" si="29"/>
        <v>3.4242162938216136E-3</v>
      </c>
      <c r="E938" s="179">
        <v>32.32</v>
      </c>
      <c r="F938">
        <f t="shared" si="30"/>
        <v>1.6032694121345559E-2</v>
      </c>
      <c r="H938" s="179"/>
      <c r="R938" s="199">
        <v>42985</v>
      </c>
      <c r="S938" s="180">
        <v>4.2919999999999998</v>
      </c>
    </row>
    <row r="939" spans="2:19">
      <c r="B939" s="198">
        <v>44991</v>
      </c>
      <c r="C939" s="178">
        <v>89240.79</v>
      </c>
      <c r="D939">
        <f t="shared" si="29"/>
        <v>6.0353696538497648E-3</v>
      </c>
      <c r="E939" s="179">
        <v>33.090000000000003</v>
      </c>
      <c r="F939">
        <f t="shared" si="30"/>
        <v>2.3824257425742568E-2</v>
      </c>
      <c r="H939" s="179"/>
      <c r="R939" s="199">
        <v>42986</v>
      </c>
      <c r="S939" s="180">
        <v>4.2919999999999998</v>
      </c>
    </row>
    <row r="940" spans="2:19">
      <c r="B940" s="198">
        <v>44992</v>
      </c>
      <c r="C940" s="178">
        <v>89703.73</v>
      </c>
      <c r="D940">
        <f t="shared" si="29"/>
        <v>5.1875381201802462E-3</v>
      </c>
      <c r="E940" s="179">
        <v>32.96</v>
      </c>
      <c r="F940">
        <f t="shared" si="30"/>
        <v>-3.9286793593231728E-3</v>
      </c>
      <c r="H940" s="179"/>
      <c r="R940" s="199">
        <v>42989</v>
      </c>
      <c r="S940" s="180">
        <v>4.2919999999999998</v>
      </c>
    </row>
    <row r="941" spans="2:19">
      <c r="B941" s="198">
        <v>44993</v>
      </c>
      <c r="C941" s="178">
        <v>89173.04</v>
      </c>
      <c r="D941">
        <f t="shared" si="29"/>
        <v>-5.9160304705278E-3</v>
      </c>
      <c r="E941" s="179">
        <v>33.520000000000003</v>
      </c>
      <c r="F941">
        <f t="shared" si="30"/>
        <v>1.6990291262136026E-2</v>
      </c>
      <c r="H941" s="179"/>
      <c r="R941" s="199">
        <v>42990</v>
      </c>
      <c r="S941" s="180">
        <v>4.2919999999999998</v>
      </c>
    </row>
    <row r="942" spans="2:19">
      <c r="B942" s="198">
        <v>44994</v>
      </c>
      <c r="C942" s="178">
        <v>89672.19</v>
      </c>
      <c r="D942">
        <f t="shared" si="29"/>
        <v>5.5975438316335779E-3</v>
      </c>
      <c r="E942" s="179">
        <v>33.75</v>
      </c>
      <c r="F942">
        <f t="shared" si="30"/>
        <v>6.8615751789975477E-3</v>
      </c>
      <c r="H942" s="179"/>
      <c r="R942" s="199">
        <v>42991</v>
      </c>
      <c r="S942" s="180">
        <v>4.2919999999999998</v>
      </c>
    </row>
    <row r="943" spans="2:19">
      <c r="B943" s="198">
        <v>44995</v>
      </c>
      <c r="C943" s="178">
        <v>87695.19</v>
      </c>
      <c r="D943">
        <f t="shared" si="29"/>
        <v>-2.2046969077034961E-2</v>
      </c>
      <c r="E943" s="179">
        <v>33.85</v>
      </c>
      <c r="F943">
        <f t="shared" si="30"/>
        <v>2.9629629629630561E-3</v>
      </c>
      <c r="H943" s="179"/>
      <c r="R943" s="199">
        <v>42992</v>
      </c>
      <c r="S943" s="180">
        <v>4.2919999999999998</v>
      </c>
    </row>
    <row r="944" spans="2:19">
      <c r="B944" s="198">
        <v>44998</v>
      </c>
      <c r="C944" s="178">
        <v>87254.58</v>
      </c>
      <c r="D944">
        <f t="shared" si="29"/>
        <v>-5.0243348580464309E-3</v>
      </c>
      <c r="E944" s="179">
        <v>33.58</v>
      </c>
      <c r="F944">
        <f t="shared" si="30"/>
        <v>-7.976366322008932E-3</v>
      </c>
      <c r="H944" s="179"/>
      <c r="R944" s="199">
        <v>42993</v>
      </c>
      <c r="S944" s="180">
        <v>4.2919999999999998</v>
      </c>
    </row>
    <row r="945" spans="2:19">
      <c r="B945" s="198">
        <v>44999</v>
      </c>
      <c r="C945" s="178">
        <v>85977.21</v>
      </c>
      <c r="D945">
        <f t="shared" si="29"/>
        <v>-1.4639575366702795E-2</v>
      </c>
      <c r="E945" s="179">
        <v>33.479999999999997</v>
      </c>
      <c r="F945">
        <f t="shared" si="30"/>
        <v>-2.9779630732579276E-3</v>
      </c>
      <c r="H945" s="179"/>
      <c r="R945" s="199">
        <v>42996</v>
      </c>
      <c r="S945" s="180">
        <v>4.2919999999999998</v>
      </c>
    </row>
    <row r="946" spans="2:19">
      <c r="B946" s="198">
        <v>45000</v>
      </c>
      <c r="C946" s="178">
        <v>86730.49</v>
      </c>
      <c r="D946">
        <f t="shared" si="29"/>
        <v>8.7613915361990369E-3</v>
      </c>
      <c r="E946" s="179">
        <v>34.04</v>
      </c>
      <c r="F946">
        <f t="shared" si="30"/>
        <v>1.6726403823178027E-2</v>
      </c>
      <c r="H946" s="179"/>
      <c r="R946" s="199">
        <v>42997</v>
      </c>
      <c r="S946" s="180">
        <v>4.2919999999999998</v>
      </c>
    </row>
    <row r="947" spans="2:19">
      <c r="B947" s="198">
        <v>45001</v>
      </c>
      <c r="C947" s="178">
        <v>85420.65</v>
      </c>
      <c r="D947">
        <f t="shared" si="29"/>
        <v>-1.5102416693368315E-2</v>
      </c>
      <c r="E947" s="179">
        <v>34.26</v>
      </c>
      <c r="F947">
        <f t="shared" si="30"/>
        <v>6.4629847238542038E-3</v>
      </c>
      <c r="H947" s="179"/>
      <c r="R947" s="199">
        <v>42998</v>
      </c>
      <c r="S947" s="180">
        <v>4.2919999999999998</v>
      </c>
    </row>
    <row r="948" spans="2:19">
      <c r="B948" s="198">
        <v>45002</v>
      </c>
      <c r="C948" s="178">
        <v>85847.79</v>
      </c>
      <c r="D948">
        <f t="shared" si="29"/>
        <v>5.0004302238393361E-3</v>
      </c>
      <c r="E948" s="179">
        <v>33.86</v>
      </c>
      <c r="F948">
        <f t="shared" si="30"/>
        <v>-1.1675423234092208E-2</v>
      </c>
      <c r="H948" s="179"/>
      <c r="R948" s="199">
        <v>42999</v>
      </c>
      <c r="S948" s="180">
        <v>4.2919999999999998</v>
      </c>
    </row>
    <row r="949" spans="2:19">
      <c r="B949" s="198">
        <v>45005</v>
      </c>
      <c r="C949" s="178">
        <v>84619.77</v>
      </c>
      <c r="D949">
        <f t="shared" si="29"/>
        <v>-1.4304619839369037E-2</v>
      </c>
      <c r="E949" s="179">
        <v>33.82</v>
      </c>
      <c r="F949">
        <f t="shared" si="30"/>
        <v>-1.1813349084465186E-3</v>
      </c>
      <c r="H949" s="179"/>
      <c r="R949" s="199">
        <v>43000</v>
      </c>
      <c r="S949" s="180">
        <v>4.2919999999999998</v>
      </c>
    </row>
    <row r="950" spans="2:19">
      <c r="B950" s="198">
        <v>45006</v>
      </c>
      <c r="C950" s="178">
        <v>85308.58</v>
      </c>
      <c r="D950">
        <f t="shared" si="29"/>
        <v>8.1400599410752505E-3</v>
      </c>
      <c r="E950" s="179">
        <v>33.99</v>
      </c>
      <c r="F950">
        <f t="shared" si="30"/>
        <v>5.0266114725014965E-3</v>
      </c>
      <c r="H950" s="179"/>
      <c r="R950" s="199">
        <v>43003</v>
      </c>
      <c r="S950" s="180">
        <v>4.2919999999999998</v>
      </c>
    </row>
    <row r="951" spans="2:19">
      <c r="B951" s="198">
        <v>45007</v>
      </c>
      <c r="C951" s="178">
        <v>86012.82</v>
      </c>
      <c r="D951">
        <f t="shared" si="29"/>
        <v>8.2552071550130446E-3</v>
      </c>
      <c r="E951" s="179">
        <v>34.159999999999997</v>
      </c>
      <c r="F951">
        <f t="shared" si="30"/>
        <v>5.0014710208883262E-3</v>
      </c>
      <c r="H951" s="179"/>
      <c r="R951" s="199">
        <v>43004</v>
      </c>
      <c r="S951" s="180">
        <v>4.2919999999999998</v>
      </c>
    </row>
    <row r="952" spans="2:19">
      <c r="B952" s="198">
        <v>45008</v>
      </c>
      <c r="C952" s="178">
        <v>85391.65</v>
      </c>
      <c r="D952">
        <f t="shared" si="29"/>
        <v>-7.2218304201631112E-3</v>
      </c>
      <c r="E952" s="179">
        <v>34.090000000000003</v>
      </c>
      <c r="F952">
        <f t="shared" si="30"/>
        <v>-2.0491803278686049E-3</v>
      </c>
      <c r="H952" s="179"/>
      <c r="R952" s="199">
        <v>43005</v>
      </c>
      <c r="S952" s="180">
        <v>4.2919999999999998</v>
      </c>
    </row>
    <row r="953" spans="2:19">
      <c r="B953" s="198">
        <v>45009</v>
      </c>
      <c r="C953" s="178">
        <v>85260.09</v>
      </c>
      <c r="D953">
        <f t="shared" si="29"/>
        <v>-1.540665861357593E-3</v>
      </c>
      <c r="E953" s="179">
        <v>33.75</v>
      </c>
      <c r="F953">
        <f t="shared" si="30"/>
        <v>-9.9735992959812947E-3</v>
      </c>
      <c r="H953" s="179"/>
      <c r="R953" s="199">
        <v>43006</v>
      </c>
      <c r="S953" s="180">
        <v>4.2919999999999998</v>
      </c>
    </row>
    <row r="954" spans="2:19">
      <c r="B954" s="198">
        <v>45012</v>
      </c>
      <c r="C954" s="178">
        <v>85335.74</v>
      </c>
      <c r="D954">
        <f t="shared" si="29"/>
        <v>8.8728501224899503E-4</v>
      </c>
      <c r="E954" s="179">
        <v>34.57</v>
      </c>
      <c r="F954">
        <f t="shared" si="30"/>
        <v>2.429629629629626E-2</v>
      </c>
      <c r="H954" s="179"/>
      <c r="R954" s="199">
        <v>43007</v>
      </c>
      <c r="S954" s="180">
        <v>4.2919999999999998</v>
      </c>
    </row>
    <row r="955" spans="2:19">
      <c r="B955" s="198">
        <v>45013</v>
      </c>
      <c r="C955" s="178">
        <v>86249.36</v>
      </c>
      <c r="D955">
        <f t="shared" si="29"/>
        <v>1.0706182427198785E-2</v>
      </c>
      <c r="E955" s="179">
        <v>34.49</v>
      </c>
      <c r="F955">
        <f t="shared" si="30"/>
        <v>-2.3141452126120843E-3</v>
      </c>
      <c r="H955" s="179"/>
      <c r="R955" s="199">
        <v>43010</v>
      </c>
      <c r="S955" s="180">
        <v>4.2919999999999998</v>
      </c>
    </row>
    <row r="956" spans="2:19">
      <c r="B956" s="198">
        <v>45014</v>
      </c>
      <c r="C956" s="178">
        <v>86447.5</v>
      </c>
      <c r="D956">
        <f t="shared" si="29"/>
        <v>2.2972924088944247E-3</v>
      </c>
      <c r="E956" s="179">
        <v>34.53</v>
      </c>
      <c r="F956">
        <f t="shared" si="30"/>
        <v>1.1597564511451885E-3</v>
      </c>
      <c r="H956" s="179"/>
      <c r="R956" s="199">
        <v>43011</v>
      </c>
      <c r="S956" s="180">
        <v>4.2919999999999998</v>
      </c>
    </row>
    <row r="957" spans="2:19">
      <c r="B957" s="198">
        <v>45015</v>
      </c>
      <c r="C957" s="178">
        <v>87371.26</v>
      </c>
      <c r="D957">
        <f t="shared" si="29"/>
        <v>1.0685791954654578E-2</v>
      </c>
      <c r="E957" s="179">
        <v>34.61</v>
      </c>
      <c r="F957">
        <f t="shared" si="30"/>
        <v>2.3168259484505072E-3</v>
      </c>
      <c r="H957" s="179"/>
      <c r="R957" s="199">
        <v>43012</v>
      </c>
      <c r="S957" s="180">
        <v>4.2919999999999998</v>
      </c>
    </row>
    <row r="958" spans="2:19">
      <c r="B958" s="198">
        <v>45016</v>
      </c>
      <c r="C958" s="178">
        <v>88105.41</v>
      </c>
      <c r="D958">
        <f t="shared" si="29"/>
        <v>8.4026486512842613E-3</v>
      </c>
      <c r="E958" s="179">
        <v>34.840000000000003</v>
      </c>
      <c r="F958">
        <f t="shared" si="30"/>
        <v>6.6454781854956568E-3</v>
      </c>
      <c r="H958" s="179"/>
      <c r="R958" s="199">
        <v>43013</v>
      </c>
      <c r="S958" s="180">
        <v>4.2919999999999998</v>
      </c>
    </row>
    <row r="959" spans="2:19">
      <c r="B959" s="198">
        <v>45019</v>
      </c>
      <c r="C959" s="178">
        <v>88619.36</v>
      </c>
      <c r="D959">
        <f t="shared" si="29"/>
        <v>5.8333534796557451E-3</v>
      </c>
      <c r="E959" s="179">
        <v>35.1</v>
      </c>
      <c r="F959">
        <f t="shared" si="30"/>
        <v>7.4626865671640896E-3</v>
      </c>
      <c r="H959" s="179"/>
      <c r="R959" s="199">
        <v>43014</v>
      </c>
      <c r="S959" s="180">
        <v>4.2919999999999998</v>
      </c>
    </row>
    <row r="960" spans="2:19">
      <c r="B960" s="198">
        <v>45020</v>
      </c>
      <c r="C960" s="178">
        <v>88800.43</v>
      </c>
      <c r="D960">
        <f t="shared" si="29"/>
        <v>2.0432329910755609E-3</v>
      </c>
      <c r="E960" s="179">
        <v>35.869999999999997</v>
      </c>
      <c r="F960">
        <f t="shared" si="30"/>
        <v>2.1937321937321785E-2</v>
      </c>
      <c r="H960" s="179"/>
      <c r="R960" s="199">
        <v>43017</v>
      </c>
      <c r="S960" s="180">
        <v>4.2919999999999998</v>
      </c>
    </row>
    <row r="961" spans="2:19">
      <c r="B961" s="198">
        <v>45021</v>
      </c>
      <c r="C961" s="178">
        <v>88835.75</v>
      </c>
      <c r="D961">
        <f t="shared" si="29"/>
        <v>3.9774582172635853E-4</v>
      </c>
      <c r="E961" s="179">
        <v>36.049999999999997</v>
      </c>
      <c r="F961">
        <f t="shared" si="30"/>
        <v>5.0181209924728964E-3</v>
      </c>
      <c r="H961" s="179"/>
      <c r="R961" s="199">
        <v>43018</v>
      </c>
      <c r="S961" s="180">
        <v>4.2919999999999998</v>
      </c>
    </row>
    <row r="962" spans="2:19">
      <c r="B962" s="198">
        <v>45022</v>
      </c>
      <c r="C962" s="178">
        <v>88570.57</v>
      </c>
      <c r="D962">
        <f t="shared" si="29"/>
        <v>-2.9850595058857898E-3</v>
      </c>
      <c r="E962" s="179">
        <v>36.22</v>
      </c>
      <c r="F962">
        <f t="shared" si="30"/>
        <v>4.7156726768378121E-3</v>
      </c>
      <c r="H962" s="179"/>
      <c r="R962" s="199">
        <v>43019</v>
      </c>
      <c r="S962" s="180">
        <v>4.2919999999999998</v>
      </c>
    </row>
    <row r="963" spans="2:19">
      <c r="B963" s="198">
        <v>45027</v>
      </c>
      <c r="C963" s="178">
        <v>89675</v>
      </c>
      <c r="D963">
        <f t="shared" si="29"/>
        <v>1.2469491841364366E-2</v>
      </c>
      <c r="E963" s="179">
        <v>36.340000000000003</v>
      </c>
      <c r="F963">
        <f t="shared" si="30"/>
        <v>3.3130866924353519E-3</v>
      </c>
      <c r="H963" s="179"/>
      <c r="R963" s="199">
        <v>43020</v>
      </c>
      <c r="S963" s="180">
        <v>4.2919999999999998</v>
      </c>
    </row>
    <row r="964" spans="2:19">
      <c r="B964" s="198">
        <v>45028</v>
      </c>
      <c r="C964" s="178">
        <v>90089.87</v>
      </c>
      <c r="D964">
        <f t="shared" si="29"/>
        <v>4.6263730136604231E-3</v>
      </c>
      <c r="E964" s="179">
        <v>36.57</v>
      </c>
      <c r="F964">
        <f t="shared" si="30"/>
        <v>6.3291139240504446E-3</v>
      </c>
      <c r="H964" s="179"/>
      <c r="R964" s="199">
        <v>43021</v>
      </c>
      <c r="S964" s="180">
        <v>4.2919999999999998</v>
      </c>
    </row>
    <row r="965" spans="2:19">
      <c r="B965" s="198">
        <v>45029</v>
      </c>
      <c r="C965" s="178">
        <v>89874.23</v>
      </c>
      <c r="D965">
        <f t="shared" si="29"/>
        <v>-2.3936098475888512E-3</v>
      </c>
      <c r="E965" s="179">
        <v>36.36</v>
      </c>
      <c r="F965">
        <f t="shared" si="30"/>
        <v>-5.7424118129614232E-3</v>
      </c>
      <c r="H965" s="179"/>
      <c r="R965" s="199">
        <v>43024</v>
      </c>
      <c r="S965" s="180">
        <v>4.2919999999999998</v>
      </c>
    </row>
    <row r="966" spans="2:19">
      <c r="B966" s="198">
        <v>45030</v>
      </c>
      <c r="C966" s="178">
        <v>90348.09</v>
      </c>
      <c r="D966">
        <f t="shared" si="29"/>
        <v>5.2724791077487509E-3</v>
      </c>
      <c r="E966" s="179">
        <v>36.29</v>
      </c>
      <c r="F966">
        <f t="shared" si="30"/>
        <v>-1.9251925192519392E-3</v>
      </c>
      <c r="H966" s="179"/>
      <c r="R966" s="199">
        <v>43025</v>
      </c>
      <c r="S966" s="180">
        <v>4.2919999999999998</v>
      </c>
    </row>
    <row r="967" spans="2:19">
      <c r="B967" s="198">
        <v>45033</v>
      </c>
      <c r="C967" s="178">
        <v>90572.03</v>
      </c>
      <c r="D967">
        <f t="shared" si="29"/>
        <v>2.4786356856021374E-3</v>
      </c>
      <c r="E967" s="179">
        <v>35.82</v>
      </c>
      <c r="F967">
        <f t="shared" si="30"/>
        <v>-1.295122623312206E-2</v>
      </c>
      <c r="H967" s="179"/>
      <c r="R967" s="199">
        <v>43026</v>
      </c>
      <c r="S967" s="180">
        <v>4.2919999999999998</v>
      </c>
    </row>
    <row r="968" spans="2:19">
      <c r="B968" s="198">
        <v>45034</v>
      </c>
      <c r="C968" s="178">
        <v>90326.32</v>
      </c>
      <c r="D968">
        <f t="shared" ref="D968:D1031" si="31">(C968/C967)-1</f>
        <v>-2.712868420857828E-3</v>
      </c>
      <c r="E968" s="179">
        <v>35.83</v>
      </c>
      <c r="F968">
        <f t="shared" ref="F968:F1031" si="32">(E968/E967)-1</f>
        <v>2.7917364600771322E-4</v>
      </c>
      <c r="H968" s="179"/>
      <c r="R968" s="199">
        <v>43027</v>
      </c>
      <c r="S968" s="180">
        <v>4.2919999999999998</v>
      </c>
    </row>
    <row r="969" spans="2:19">
      <c r="B969" s="198">
        <v>45035</v>
      </c>
      <c r="C969" s="178">
        <v>90376.03</v>
      </c>
      <c r="D969">
        <f t="shared" si="31"/>
        <v>5.5033793029535261E-4</v>
      </c>
      <c r="E969" s="179">
        <v>35.729999999999997</v>
      </c>
      <c r="F969">
        <f t="shared" si="32"/>
        <v>-2.7909572983533248E-3</v>
      </c>
      <c r="H969" s="179"/>
      <c r="R969" s="199">
        <v>43028</v>
      </c>
      <c r="S969" s="180">
        <v>4.2919999999999998</v>
      </c>
    </row>
    <row r="970" spans="2:19">
      <c r="B970" s="198">
        <v>45036</v>
      </c>
      <c r="C970" s="178">
        <v>90305.48</v>
      </c>
      <c r="D970">
        <f t="shared" si="31"/>
        <v>-7.806273411213871E-4</v>
      </c>
      <c r="E970" s="179">
        <v>36.04</v>
      </c>
      <c r="F970">
        <f t="shared" si="32"/>
        <v>8.676182479709027E-3</v>
      </c>
      <c r="H970" s="179"/>
      <c r="R970" s="199">
        <v>43031</v>
      </c>
      <c r="S970" s="180">
        <v>4.2919999999999998</v>
      </c>
    </row>
    <row r="971" spans="2:19">
      <c r="B971" s="198">
        <v>45037</v>
      </c>
      <c r="C971" s="178">
        <v>89918.39</v>
      </c>
      <c r="D971">
        <f t="shared" si="31"/>
        <v>-4.2864508333270157E-3</v>
      </c>
      <c r="E971" s="179">
        <v>36.26</v>
      </c>
      <c r="F971">
        <f t="shared" si="32"/>
        <v>6.1043285238624456E-3</v>
      </c>
      <c r="H971" s="179"/>
      <c r="R971" s="199">
        <v>43032</v>
      </c>
      <c r="S971" s="180">
        <v>4.2919999999999998</v>
      </c>
    </row>
    <row r="972" spans="2:19">
      <c r="B972" s="198">
        <v>45040</v>
      </c>
      <c r="C972" s="178">
        <v>89789.27</v>
      </c>
      <c r="D972">
        <f t="shared" si="31"/>
        <v>-1.4359687712379721E-3</v>
      </c>
      <c r="E972" s="179">
        <v>36.369999999999997</v>
      </c>
      <c r="F972">
        <f t="shared" si="32"/>
        <v>3.0336458907886943E-3</v>
      </c>
      <c r="H972" s="179"/>
      <c r="R972" s="199">
        <v>43033</v>
      </c>
      <c r="S972" s="180">
        <v>4.2919999999999998</v>
      </c>
    </row>
    <row r="973" spans="2:19">
      <c r="B973" s="198">
        <v>45042</v>
      </c>
      <c r="C973" s="178">
        <v>89677.53</v>
      </c>
      <c r="D973">
        <f t="shared" si="31"/>
        <v>-1.2444694115455457E-3</v>
      </c>
      <c r="E973" s="179">
        <v>35.729999999999997</v>
      </c>
      <c r="F973">
        <f t="shared" si="32"/>
        <v>-1.7596920538905714E-2</v>
      </c>
      <c r="H973" s="179"/>
      <c r="R973" s="199">
        <v>43034</v>
      </c>
      <c r="S973" s="180">
        <v>4.2919999999999998</v>
      </c>
    </row>
    <row r="974" spans="2:19">
      <c r="B974" s="198">
        <v>45043</v>
      </c>
      <c r="C974" s="178">
        <v>89430.81</v>
      </c>
      <c r="D974">
        <f t="shared" si="31"/>
        <v>-2.7511908501494098E-3</v>
      </c>
      <c r="E974" s="179">
        <v>35.68</v>
      </c>
      <c r="F974">
        <f t="shared" si="32"/>
        <v>-1.3993842709206783E-3</v>
      </c>
      <c r="H974" s="179"/>
      <c r="R974" s="199">
        <v>43035</v>
      </c>
      <c r="S974" s="180">
        <v>4.2919999999999998</v>
      </c>
    </row>
    <row r="975" spans="2:19">
      <c r="B975" s="198">
        <v>45044</v>
      </c>
      <c r="C975" s="178">
        <v>89655.41</v>
      </c>
      <c r="D975">
        <f t="shared" si="31"/>
        <v>2.5114387312381581E-3</v>
      </c>
      <c r="E975" s="179">
        <v>35.44</v>
      </c>
      <c r="F975">
        <f t="shared" si="32"/>
        <v>-6.7264573991031584E-3</v>
      </c>
      <c r="H975" s="179"/>
      <c r="R975" s="199">
        <v>43038</v>
      </c>
      <c r="S975" s="180">
        <v>4.2919999999999998</v>
      </c>
    </row>
    <row r="976" spans="2:19">
      <c r="B976" s="198">
        <v>45047</v>
      </c>
      <c r="C976" s="178">
        <v>89933.26</v>
      </c>
      <c r="D976">
        <f t="shared" si="31"/>
        <v>3.0990879412629013E-3</v>
      </c>
      <c r="E976" s="179">
        <v>35.799999999999997</v>
      </c>
      <c r="F976">
        <f t="shared" si="32"/>
        <v>1.0158013544018019E-2</v>
      </c>
      <c r="H976" s="179"/>
      <c r="R976" s="199">
        <v>43039</v>
      </c>
      <c r="S976" s="180">
        <v>4.2919999999999998</v>
      </c>
    </row>
    <row r="977" spans="2:19">
      <c r="B977" s="198">
        <v>45048</v>
      </c>
      <c r="C977" s="178">
        <v>89163.65</v>
      </c>
      <c r="D977">
        <f t="shared" si="31"/>
        <v>-8.5575681344143284E-3</v>
      </c>
      <c r="E977" s="179">
        <v>35.61</v>
      </c>
      <c r="F977">
        <f t="shared" si="32"/>
        <v>-5.3072625698323828E-3</v>
      </c>
      <c r="H977" s="179"/>
      <c r="R977" s="199">
        <v>43040</v>
      </c>
      <c r="S977" s="180">
        <v>4.2919999999999998</v>
      </c>
    </row>
    <row r="978" spans="2:19">
      <c r="B978" s="198">
        <v>45049</v>
      </c>
      <c r="C978" s="178">
        <v>88317.55</v>
      </c>
      <c r="D978">
        <f t="shared" si="31"/>
        <v>-9.4892930022490996E-3</v>
      </c>
      <c r="E978" s="179">
        <v>35.79</v>
      </c>
      <c r="F978">
        <f t="shared" si="32"/>
        <v>5.0547598989048037E-3</v>
      </c>
      <c r="H978" s="179"/>
      <c r="R978" s="199">
        <v>43041</v>
      </c>
      <c r="S978" s="180">
        <v>4.2919999999999998</v>
      </c>
    </row>
    <row r="979" spans="2:19">
      <c r="B979" s="198">
        <v>45050</v>
      </c>
      <c r="C979" s="178">
        <v>88309.77</v>
      </c>
      <c r="D979">
        <f t="shared" si="31"/>
        <v>-8.8091211769336653E-5</v>
      </c>
      <c r="E979" s="179">
        <v>35.909999999999997</v>
      </c>
      <c r="F979">
        <f t="shared" si="32"/>
        <v>3.3528918692371512E-3</v>
      </c>
      <c r="H979" s="179"/>
      <c r="R979" s="199">
        <v>43042</v>
      </c>
      <c r="S979" s="180">
        <v>4.2919999999999998</v>
      </c>
    </row>
    <row r="980" spans="2:19">
      <c r="B980" s="198">
        <v>45051</v>
      </c>
      <c r="C980" s="178">
        <v>88606.9</v>
      </c>
      <c r="D980">
        <f t="shared" si="31"/>
        <v>3.3646333808816653E-3</v>
      </c>
      <c r="E980" s="179">
        <v>35.729999999999997</v>
      </c>
      <c r="F980">
        <f t="shared" si="32"/>
        <v>-5.0125313283208017E-3</v>
      </c>
      <c r="H980" s="179"/>
      <c r="R980" s="199">
        <v>43045</v>
      </c>
      <c r="S980" s="180">
        <v>4.2919999999999998</v>
      </c>
    </row>
    <row r="981" spans="2:19">
      <c r="B981" s="198">
        <v>45054</v>
      </c>
      <c r="C981" s="178">
        <v>89312.06</v>
      </c>
      <c r="D981">
        <f t="shared" si="31"/>
        <v>7.9582967014983907E-3</v>
      </c>
      <c r="E981" s="179">
        <v>35.909999999999997</v>
      </c>
      <c r="F981">
        <f t="shared" si="32"/>
        <v>5.0377833753147971E-3</v>
      </c>
      <c r="H981" s="179"/>
      <c r="R981" s="199">
        <v>43046</v>
      </c>
      <c r="S981" s="180">
        <v>4.2919999999999998</v>
      </c>
    </row>
    <row r="982" spans="2:19">
      <c r="B982" s="198">
        <v>45055</v>
      </c>
      <c r="C982" s="178">
        <v>89129.84</v>
      </c>
      <c r="D982">
        <f t="shared" si="31"/>
        <v>-2.0402619758183027E-3</v>
      </c>
      <c r="E982" s="179">
        <v>35.340000000000003</v>
      </c>
      <c r="F982">
        <f t="shared" si="32"/>
        <v>-1.5873015873015706E-2</v>
      </c>
      <c r="H982" s="179"/>
      <c r="R982" s="199">
        <v>43047</v>
      </c>
      <c r="S982" s="180">
        <v>4.2919999999999998</v>
      </c>
    </row>
    <row r="983" spans="2:19">
      <c r="B983" s="198">
        <v>45056</v>
      </c>
      <c r="C983" s="178">
        <v>89177.29</v>
      </c>
      <c r="D983">
        <f t="shared" si="31"/>
        <v>5.323694062504547E-4</v>
      </c>
      <c r="E983" s="179">
        <v>35.64</v>
      </c>
      <c r="F983">
        <f t="shared" si="32"/>
        <v>8.4889643463497144E-3</v>
      </c>
      <c r="H983" s="179"/>
      <c r="R983" s="199">
        <v>43048</v>
      </c>
      <c r="S983" s="180">
        <v>4.2919999999999998</v>
      </c>
    </row>
    <row r="984" spans="2:19">
      <c r="B984" s="198">
        <v>45057</v>
      </c>
      <c r="C984" s="178">
        <v>89235.14</v>
      </c>
      <c r="D984">
        <f t="shared" si="31"/>
        <v>6.4870775956538118E-4</v>
      </c>
      <c r="E984" s="179">
        <v>35.68</v>
      </c>
      <c r="F984">
        <f t="shared" si="32"/>
        <v>1.1223344556676729E-3</v>
      </c>
      <c r="H984" s="179"/>
      <c r="R984" s="199">
        <v>43049</v>
      </c>
      <c r="S984" s="180">
        <v>4.2919999999999998</v>
      </c>
    </row>
    <row r="985" spans="2:19">
      <c r="B985" s="198">
        <v>45058</v>
      </c>
      <c r="C985" s="178">
        <v>89276.82</v>
      </c>
      <c r="D985">
        <f t="shared" si="31"/>
        <v>4.6708056938116194E-4</v>
      </c>
      <c r="E985" s="179">
        <v>35.79</v>
      </c>
      <c r="F985">
        <f t="shared" si="32"/>
        <v>3.0829596412556004E-3</v>
      </c>
      <c r="H985" s="179"/>
      <c r="R985" s="199">
        <v>43052</v>
      </c>
      <c r="S985" s="180">
        <v>4.2919999999999998</v>
      </c>
    </row>
    <row r="986" spans="2:19">
      <c r="B986" s="198">
        <v>45061</v>
      </c>
      <c r="C986" s="178">
        <v>89516.43</v>
      </c>
      <c r="D986">
        <f t="shared" si="31"/>
        <v>2.6838993593183424E-3</v>
      </c>
      <c r="E986" s="179">
        <v>36.24</v>
      </c>
      <c r="F986">
        <f t="shared" si="32"/>
        <v>1.257334450963965E-2</v>
      </c>
      <c r="H986" s="179"/>
      <c r="R986" s="199">
        <v>43053</v>
      </c>
      <c r="S986" s="180">
        <v>4.2919999999999998</v>
      </c>
    </row>
    <row r="987" spans="2:19">
      <c r="B987" s="198">
        <v>45062</v>
      </c>
      <c r="C987" s="178">
        <v>89080.8</v>
      </c>
      <c r="D987">
        <f t="shared" si="31"/>
        <v>-4.8664809353990979E-3</v>
      </c>
      <c r="E987" s="179">
        <v>35.9</v>
      </c>
      <c r="F987">
        <f t="shared" si="32"/>
        <v>-9.3818984547462403E-3</v>
      </c>
      <c r="H987" s="179"/>
      <c r="R987" s="199">
        <v>43054</v>
      </c>
      <c r="S987" s="180">
        <v>4.2919999999999998</v>
      </c>
    </row>
    <row r="988" spans="2:19">
      <c r="B988" s="198">
        <v>45063</v>
      </c>
      <c r="C988" s="178">
        <v>88663.37</v>
      </c>
      <c r="D988">
        <f t="shared" si="31"/>
        <v>-4.6859704897127541E-3</v>
      </c>
      <c r="E988" s="179">
        <v>35.700000000000003</v>
      </c>
      <c r="F988">
        <f t="shared" si="32"/>
        <v>-5.5710306406684396E-3</v>
      </c>
      <c r="H988" s="179"/>
      <c r="R988" s="199">
        <v>43055</v>
      </c>
      <c r="S988" s="180">
        <v>4.2919999999999998</v>
      </c>
    </row>
    <row r="989" spans="2:19">
      <c r="B989" s="198">
        <v>45064</v>
      </c>
      <c r="C989" s="178">
        <v>89118.25</v>
      </c>
      <c r="D989">
        <f t="shared" si="31"/>
        <v>5.1304163151029147E-3</v>
      </c>
      <c r="E989" s="179">
        <v>35.700000000000003</v>
      </c>
      <c r="F989">
        <f t="shared" si="32"/>
        <v>0</v>
      </c>
      <c r="H989" s="179"/>
      <c r="R989" s="199">
        <v>43056</v>
      </c>
      <c r="S989" s="180">
        <v>4.2919999999999998</v>
      </c>
    </row>
    <row r="990" spans="2:19">
      <c r="B990" s="198">
        <v>45065</v>
      </c>
      <c r="C990" s="178">
        <v>89655.58</v>
      </c>
      <c r="D990">
        <f t="shared" si="31"/>
        <v>6.0294047515521143E-3</v>
      </c>
      <c r="E990" s="179">
        <v>35.93</v>
      </c>
      <c r="F990">
        <f t="shared" si="32"/>
        <v>6.442577030812302E-3</v>
      </c>
      <c r="H990" s="179"/>
      <c r="R990" s="199">
        <v>43059</v>
      </c>
      <c r="S990" s="180">
        <v>4.2919999999999998</v>
      </c>
    </row>
    <row r="991" spans="2:19">
      <c r="B991" s="198">
        <v>45068</v>
      </c>
      <c r="C991" s="178">
        <v>89406.01</v>
      </c>
      <c r="D991">
        <f t="shared" si="31"/>
        <v>-2.7836527297019353E-3</v>
      </c>
      <c r="E991" s="179">
        <v>36.25</v>
      </c>
      <c r="F991">
        <f t="shared" si="32"/>
        <v>8.9062065126634948E-3</v>
      </c>
      <c r="H991" s="179"/>
      <c r="R991" s="199">
        <v>43060</v>
      </c>
      <c r="S991" s="180">
        <v>4.2919999999999998</v>
      </c>
    </row>
    <row r="992" spans="2:19">
      <c r="B992" s="198">
        <v>45069</v>
      </c>
      <c r="C992" s="178">
        <v>89372.2</v>
      </c>
      <c r="D992">
        <f t="shared" si="31"/>
        <v>-3.7816249712963046E-4</v>
      </c>
      <c r="E992" s="179">
        <v>35.17</v>
      </c>
      <c r="F992">
        <f t="shared" si="32"/>
        <v>-2.9793103448275793E-2</v>
      </c>
      <c r="H992" s="179"/>
      <c r="R992" s="199">
        <v>43061</v>
      </c>
      <c r="S992" s="180">
        <v>4.2919999999999998</v>
      </c>
    </row>
    <row r="993" spans="2:19">
      <c r="B993" s="198">
        <v>45070</v>
      </c>
      <c r="C993" s="178">
        <v>88718.399999999994</v>
      </c>
      <c r="D993">
        <f t="shared" si="31"/>
        <v>-7.3154739393234136E-3</v>
      </c>
      <c r="E993" s="179">
        <v>34.64</v>
      </c>
      <c r="F993">
        <f t="shared" si="32"/>
        <v>-1.5069661643446142E-2</v>
      </c>
      <c r="H993" s="179"/>
      <c r="R993" s="199">
        <v>43062</v>
      </c>
      <c r="S993" s="180">
        <v>4.2919999999999998</v>
      </c>
    </row>
    <row r="994" spans="2:19">
      <c r="B994" s="198">
        <v>45071</v>
      </c>
      <c r="C994" s="178">
        <v>87814.28</v>
      </c>
      <c r="D994">
        <f t="shared" si="31"/>
        <v>-1.0190896138794203E-2</v>
      </c>
      <c r="E994" s="179">
        <v>34.979999999999997</v>
      </c>
      <c r="F994">
        <f t="shared" si="32"/>
        <v>9.8152424942261618E-3</v>
      </c>
      <c r="H994" s="179"/>
      <c r="R994" s="199">
        <v>43063</v>
      </c>
      <c r="S994" s="180">
        <v>4.2919999999999998</v>
      </c>
    </row>
    <row r="995" spans="2:19">
      <c r="B995" s="198">
        <v>45072</v>
      </c>
      <c r="C995" s="178">
        <v>88031.87</v>
      </c>
      <c r="D995">
        <f t="shared" si="31"/>
        <v>2.4778430114098526E-3</v>
      </c>
      <c r="E995" s="179">
        <v>34.65</v>
      </c>
      <c r="F995">
        <f t="shared" si="32"/>
        <v>-9.4339622641509413E-3</v>
      </c>
      <c r="H995" s="179"/>
      <c r="R995" s="199">
        <v>43066</v>
      </c>
      <c r="S995" s="180">
        <v>4.2919999999999998</v>
      </c>
    </row>
    <row r="996" spans="2:19">
      <c r="B996" s="198">
        <v>45075</v>
      </c>
      <c r="C996" s="178">
        <v>88760.26</v>
      </c>
      <c r="D996">
        <f t="shared" si="31"/>
        <v>8.2741625277300557E-3</v>
      </c>
      <c r="E996" s="179">
        <v>35.24</v>
      </c>
      <c r="F996">
        <f t="shared" si="32"/>
        <v>1.7027417027417169E-2</v>
      </c>
      <c r="H996" s="179"/>
      <c r="R996" s="199">
        <v>43067</v>
      </c>
      <c r="S996" s="180">
        <v>4.2919999999999998</v>
      </c>
    </row>
    <row r="997" spans="2:19">
      <c r="B997" s="198">
        <v>45076</v>
      </c>
      <c r="C997" s="178">
        <v>88666.29</v>
      </c>
      <c r="D997">
        <f t="shared" si="31"/>
        <v>-1.0586945103585599E-3</v>
      </c>
      <c r="E997" s="179">
        <v>35.340000000000003</v>
      </c>
      <c r="F997">
        <f t="shared" si="32"/>
        <v>2.8376844494892861E-3</v>
      </c>
      <c r="H997" s="179"/>
      <c r="R997" s="199">
        <v>43068</v>
      </c>
      <c r="S997" s="180">
        <v>4.2919999999999998</v>
      </c>
    </row>
    <row r="998" spans="2:19">
      <c r="B998" s="198">
        <v>45077</v>
      </c>
      <c r="C998" s="178">
        <v>87300.98</v>
      </c>
      <c r="D998">
        <f t="shared" si="31"/>
        <v>-1.5398298496531182E-2</v>
      </c>
      <c r="E998" s="179">
        <v>35.19</v>
      </c>
      <c r="F998">
        <f t="shared" si="32"/>
        <v>-4.2444821731750793E-3</v>
      </c>
      <c r="H998" s="179"/>
      <c r="R998" s="199">
        <v>43069</v>
      </c>
      <c r="S998" s="180">
        <v>4.2919999999999998</v>
      </c>
    </row>
    <row r="999" spans="2:19">
      <c r="B999" s="198">
        <v>45078</v>
      </c>
      <c r="C999" s="178">
        <v>87507.02</v>
      </c>
      <c r="D999">
        <f t="shared" si="31"/>
        <v>2.3601109632447326E-3</v>
      </c>
      <c r="E999" s="179">
        <v>35.44</v>
      </c>
      <c r="F999">
        <f t="shared" si="32"/>
        <v>7.1042909917591324E-3</v>
      </c>
      <c r="H999" s="179"/>
      <c r="R999" s="199">
        <v>43070</v>
      </c>
      <c r="S999" s="180">
        <v>4.2919999999999998</v>
      </c>
    </row>
    <row r="1000" spans="2:19">
      <c r="B1000" s="198">
        <v>45079</v>
      </c>
      <c r="C1000" s="178">
        <v>87993.83</v>
      </c>
      <c r="D1000">
        <f t="shared" si="31"/>
        <v>5.5630965378548058E-3</v>
      </c>
      <c r="E1000" s="179">
        <v>35.81</v>
      </c>
      <c r="F1000">
        <f t="shared" si="32"/>
        <v>1.0440180586907655E-2</v>
      </c>
      <c r="H1000" s="179"/>
      <c r="R1000" s="199">
        <v>43073</v>
      </c>
      <c r="S1000" s="180">
        <v>4.2919999999999998</v>
      </c>
    </row>
    <row r="1001" spans="2:19">
      <c r="B1001" s="198">
        <v>45082</v>
      </c>
      <c r="C1001" s="178">
        <v>88833.73</v>
      </c>
      <c r="D1001">
        <f t="shared" si="31"/>
        <v>9.5449874155948411E-3</v>
      </c>
      <c r="E1001" s="179">
        <v>36.21</v>
      </c>
      <c r="F1001">
        <f t="shared" si="32"/>
        <v>1.117006422786937E-2</v>
      </c>
      <c r="H1001" s="179"/>
      <c r="R1001" s="199">
        <v>43074</v>
      </c>
      <c r="S1001" s="180">
        <v>4.2919999999999998</v>
      </c>
    </row>
    <row r="1002" spans="2:19">
      <c r="B1002" s="198">
        <v>45083</v>
      </c>
      <c r="C1002" s="178">
        <v>87857.98</v>
      </c>
      <c r="D1002">
        <f t="shared" si="31"/>
        <v>-1.098400348606321E-2</v>
      </c>
      <c r="E1002" s="179">
        <v>35.29</v>
      </c>
      <c r="F1002">
        <f t="shared" si="32"/>
        <v>-2.5407346037006451E-2</v>
      </c>
      <c r="H1002" s="179"/>
      <c r="R1002" s="199">
        <v>43075</v>
      </c>
      <c r="S1002" s="180">
        <v>4.2919999999999998</v>
      </c>
    </row>
    <row r="1003" spans="2:19">
      <c r="B1003" s="198">
        <v>45084</v>
      </c>
      <c r="C1003" s="178">
        <v>87744.34</v>
      </c>
      <c r="D1003">
        <f t="shared" si="31"/>
        <v>-1.2934510900433072E-3</v>
      </c>
      <c r="E1003" s="179">
        <v>34.99</v>
      </c>
      <c r="F1003">
        <f t="shared" si="32"/>
        <v>-8.5009917823745118E-3</v>
      </c>
      <c r="H1003" s="179"/>
      <c r="R1003" s="199">
        <v>43076</v>
      </c>
      <c r="S1003" s="180">
        <v>4.2919999999999998</v>
      </c>
    </row>
    <row r="1004" spans="2:19">
      <c r="B1004" s="198">
        <v>45085</v>
      </c>
      <c r="C1004" s="178">
        <v>87479.39</v>
      </c>
      <c r="D1004">
        <f t="shared" si="31"/>
        <v>-3.0195679858096014E-3</v>
      </c>
      <c r="E1004" s="179">
        <v>34.89</v>
      </c>
      <c r="F1004">
        <f t="shared" si="32"/>
        <v>-2.8579594169763078E-3</v>
      </c>
      <c r="H1004" s="179"/>
      <c r="R1004" s="199">
        <v>43077</v>
      </c>
      <c r="S1004" s="180">
        <v>4.2919999999999998</v>
      </c>
    </row>
    <row r="1005" spans="2:19">
      <c r="B1005" s="198">
        <v>45086</v>
      </c>
      <c r="C1005" s="178">
        <v>87771.34</v>
      </c>
      <c r="D1005">
        <f t="shared" si="31"/>
        <v>3.3373575192967575E-3</v>
      </c>
      <c r="E1005" s="179">
        <v>34.94</v>
      </c>
      <c r="F1005">
        <f t="shared" si="32"/>
        <v>1.4330753797648921E-3</v>
      </c>
      <c r="H1005" s="179"/>
      <c r="R1005" s="199">
        <v>43080</v>
      </c>
      <c r="S1005" s="180">
        <v>4.2919999999999998</v>
      </c>
    </row>
    <row r="1006" spans="2:19">
      <c r="B1006" s="198">
        <v>45090</v>
      </c>
      <c r="C1006" s="178">
        <v>87975.09</v>
      </c>
      <c r="D1006">
        <f t="shared" si="31"/>
        <v>2.3213727852393617E-3</v>
      </c>
      <c r="E1006" s="179">
        <v>35.21</v>
      </c>
      <c r="F1006">
        <f t="shared" si="32"/>
        <v>7.7275329135662041E-3</v>
      </c>
      <c r="H1006" s="179"/>
      <c r="R1006" s="199">
        <v>43081</v>
      </c>
      <c r="S1006" s="180">
        <v>4.2919999999999998</v>
      </c>
    </row>
    <row r="1007" spans="2:19">
      <c r="B1007" s="198">
        <v>45091</v>
      </c>
      <c r="C1007" s="178">
        <v>88275.83</v>
      </c>
      <c r="D1007">
        <f t="shared" si="31"/>
        <v>3.4184676594251062E-3</v>
      </c>
      <c r="E1007" s="179">
        <v>35.01</v>
      </c>
      <c r="F1007">
        <f t="shared" si="32"/>
        <v>-5.6802044873616175E-3</v>
      </c>
      <c r="H1007" s="179"/>
      <c r="R1007" s="199">
        <v>43082</v>
      </c>
      <c r="S1007" s="180">
        <v>4.2919999999999998</v>
      </c>
    </row>
    <row r="1008" spans="2:19">
      <c r="B1008" s="198">
        <v>45092</v>
      </c>
      <c r="C1008" s="178">
        <v>88472.65</v>
      </c>
      <c r="D1008">
        <f t="shared" si="31"/>
        <v>2.2296023724726055E-3</v>
      </c>
      <c r="E1008" s="179">
        <v>34.74</v>
      </c>
      <c r="F1008">
        <f t="shared" si="32"/>
        <v>-7.7120822622106511E-3</v>
      </c>
      <c r="H1008" s="179"/>
      <c r="R1008" s="199">
        <v>43083</v>
      </c>
      <c r="S1008" s="180">
        <v>4.2919999999999998</v>
      </c>
    </row>
    <row r="1009" spans="2:19">
      <c r="B1009" s="198">
        <v>45093</v>
      </c>
      <c r="C1009" s="178">
        <v>89447.99</v>
      </c>
      <c r="D1009">
        <f t="shared" si="31"/>
        <v>1.1024197873580333E-2</v>
      </c>
      <c r="E1009" s="179">
        <v>35.07</v>
      </c>
      <c r="F1009">
        <f t="shared" si="32"/>
        <v>9.4991364421415092E-3</v>
      </c>
      <c r="H1009" s="179"/>
      <c r="R1009" s="199">
        <v>43084</v>
      </c>
      <c r="S1009" s="180">
        <v>4.2919999999999998</v>
      </c>
    </row>
    <row r="1010" spans="2:19">
      <c r="B1010" s="198">
        <v>45096</v>
      </c>
      <c r="C1010" s="178">
        <v>89904.639999999999</v>
      </c>
      <c r="D1010">
        <f t="shared" si="31"/>
        <v>5.1052013577945754E-3</v>
      </c>
      <c r="E1010" s="179">
        <v>35.39</v>
      </c>
      <c r="F1010">
        <f t="shared" si="32"/>
        <v>9.1246079270030922E-3</v>
      </c>
      <c r="H1010" s="179"/>
      <c r="R1010" s="199">
        <v>43087</v>
      </c>
      <c r="S1010" s="180">
        <v>4.2919999999999998</v>
      </c>
    </row>
    <row r="1011" spans="2:19">
      <c r="B1011" s="198">
        <v>45097</v>
      </c>
      <c r="C1011" s="178">
        <v>90619.08</v>
      </c>
      <c r="D1011">
        <f t="shared" si="31"/>
        <v>7.946642131040127E-3</v>
      </c>
      <c r="E1011" s="179">
        <v>35.58</v>
      </c>
      <c r="F1011">
        <f t="shared" si="32"/>
        <v>5.3687482339643822E-3</v>
      </c>
      <c r="H1011" s="179"/>
      <c r="R1011" s="199">
        <v>43088</v>
      </c>
      <c r="S1011" s="180">
        <v>4.2919999999999998</v>
      </c>
    </row>
    <row r="1012" spans="2:19">
      <c r="B1012" s="198">
        <v>45098</v>
      </c>
      <c r="C1012" s="178">
        <v>90103.51</v>
      </c>
      <c r="D1012">
        <f t="shared" si="31"/>
        <v>-5.6894199323145322E-3</v>
      </c>
      <c r="E1012" s="179">
        <v>35.54</v>
      </c>
      <c r="F1012">
        <f t="shared" si="32"/>
        <v>-1.1242270938729426E-3</v>
      </c>
      <c r="H1012" s="179"/>
      <c r="R1012" s="199">
        <v>43089</v>
      </c>
      <c r="S1012" s="180">
        <v>4.2919999999999998</v>
      </c>
    </row>
    <row r="1013" spans="2:19">
      <c r="B1013" s="198">
        <v>45099</v>
      </c>
      <c r="C1013" s="178">
        <v>88608.16</v>
      </c>
      <c r="D1013">
        <f t="shared" si="31"/>
        <v>-1.659591285622497E-2</v>
      </c>
      <c r="E1013" s="179">
        <v>35.11</v>
      </c>
      <c r="F1013">
        <f t="shared" si="32"/>
        <v>-1.2099043331457504E-2</v>
      </c>
      <c r="H1013" s="179"/>
      <c r="R1013" s="199">
        <v>43090</v>
      </c>
      <c r="S1013" s="180">
        <v>4.2919999999999998</v>
      </c>
    </row>
    <row r="1014" spans="2:19">
      <c r="B1014" s="198">
        <v>45100</v>
      </c>
      <c r="C1014" s="178">
        <v>87462.77</v>
      </c>
      <c r="D1014">
        <f t="shared" si="31"/>
        <v>-1.2926461851820448E-2</v>
      </c>
      <c r="E1014" s="179">
        <v>34.74</v>
      </c>
      <c r="F1014">
        <f t="shared" si="32"/>
        <v>-1.053830817430923E-2</v>
      </c>
      <c r="H1014" s="179"/>
      <c r="R1014" s="199">
        <v>43091</v>
      </c>
      <c r="S1014" s="180">
        <v>4.2919999999999998</v>
      </c>
    </row>
    <row r="1015" spans="2:19">
      <c r="B1015" s="198">
        <v>45103</v>
      </c>
      <c r="C1015" s="178">
        <v>87206.11</v>
      </c>
      <c r="D1015">
        <f t="shared" si="31"/>
        <v>-2.9345057331251478E-3</v>
      </c>
      <c r="E1015" s="179">
        <v>34.71</v>
      </c>
      <c r="F1015">
        <f t="shared" si="32"/>
        <v>-8.635578583765513E-4</v>
      </c>
      <c r="H1015" s="179"/>
      <c r="R1015" s="199">
        <v>43096</v>
      </c>
      <c r="S1015" s="180">
        <v>4.2919999999999998</v>
      </c>
    </row>
    <row r="1016" spans="2:19">
      <c r="B1016" s="198">
        <v>45104</v>
      </c>
      <c r="C1016" s="178">
        <v>87637.72</v>
      </c>
      <c r="D1016">
        <f t="shared" si="31"/>
        <v>4.9493091711119153E-3</v>
      </c>
      <c r="E1016" s="179">
        <v>35.479999999999997</v>
      </c>
      <c r="F1016">
        <f t="shared" si="32"/>
        <v>2.21838087006625E-2</v>
      </c>
      <c r="H1016" s="179"/>
      <c r="R1016" s="199">
        <v>43097</v>
      </c>
      <c r="S1016" s="180">
        <v>4.2919999999999998</v>
      </c>
    </row>
    <row r="1017" spans="2:19">
      <c r="B1017" s="198">
        <v>45105</v>
      </c>
      <c r="C1017" s="178">
        <v>88647.7</v>
      </c>
      <c r="D1017">
        <f t="shared" si="31"/>
        <v>1.1524489683209405E-2</v>
      </c>
      <c r="E1017" s="179">
        <v>36.07</v>
      </c>
      <c r="F1017">
        <f t="shared" si="32"/>
        <v>1.6629086809470284E-2</v>
      </c>
      <c r="H1017" s="179"/>
      <c r="R1017" s="199">
        <v>43098</v>
      </c>
      <c r="S1017" s="180">
        <v>4.2919999999999998</v>
      </c>
    </row>
    <row r="1018" spans="2:19">
      <c r="B1018" s="198">
        <v>45106</v>
      </c>
      <c r="C1018" s="178">
        <v>88845.03</v>
      </c>
      <c r="D1018">
        <f t="shared" si="31"/>
        <v>2.2260024794777955E-3</v>
      </c>
      <c r="E1018" s="179">
        <v>36.11</v>
      </c>
      <c r="F1018">
        <f t="shared" si="32"/>
        <v>1.1089548100915447E-3</v>
      </c>
      <c r="H1018" s="179"/>
      <c r="R1018" s="199">
        <v>43102</v>
      </c>
      <c r="S1018" s="180">
        <v>4.2919999999999998</v>
      </c>
    </row>
    <row r="1019" spans="2:19">
      <c r="B1019" s="198">
        <v>45107</v>
      </c>
      <c r="C1019" s="178">
        <v>88991.44</v>
      </c>
      <c r="D1019">
        <f t="shared" si="31"/>
        <v>1.6479256070935921E-3</v>
      </c>
      <c r="E1019" s="179">
        <v>35.57</v>
      </c>
      <c r="F1019">
        <f t="shared" si="32"/>
        <v>-1.4954306286347196E-2</v>
      </c>
      <c r="H1019" s="179"/>
      <c r="R1019" s="199">
        <v>43103</v>
      </c>
      <c r="S1019" s="180">
        <v>4.2919999999999998</v>
      </c>
    </row>
    <row r="1020" spans="2:19">
      <c r="B1020" s="198">
        <v>45110</v>
      </c>
      <c r="C1020" s="178">
        <v>89486.98</v>
      </c>
      <c r="D1020">
        <f t="shared" si="31"/>
        <v>5.5684007360707888E-3</v>
      </c>
      <c r="E1020" s="179">
        <v>35.76</v>
      </c>
      <c r="F1020">
        <f t="shared" si="32"/>
        <v>5.3415799831317834E-3</v>
      </c>
      <c r="H1020" s="179"/>
      <c r="R1020" s="199">
        <v>43104</v>
      </c>
      <c r="S1020" s="180">
        <v>4.2919999999999998</v>
      </c>
    </row>
    <row r="1021" spans="2:19">
      <c r="B1021" s="198">
        <v>45111</v>
      </c>
      <c r="C1021" s="178">
        <v>89922.94</v>
      </c>
      <c r="D1021">
        <f t="shared" si="31"/>
        <v>4.8717701725995433E-3</v>
      </c>
      <c r="E1021" s="179">
        <v>35.479999999999997</v>
      </c>
      <c r="F1021">
        <f t="shared" si="32"/>
        <v>-7.829977628635354E-3</v>
      </c>
      <c r="H1021" s="179"/>
      <c r="R1021" s="199">
        <v>43105</v>
      </c>
      <c r="S1021" s="180">
        <v>4.2919999999999998</v>
      </c>
    </row>
    <row r="1022" spans="2:19">
      <c r="B1022" s="198">
        <v>45112</v>
      </c>
      <c r="C1022" s="178">
        <v>89614.73</v>
      </c>
      <c r="D1022">
        <f t="shared" si="31"/>
        <v>-3.4274902488731218E-3</v>
      </c>
      <c r="E1022" s="179">
        <v>35.24</v>
      </c>
      <c r="F1022">
        <f t="shared" si="32"/>
        <v>-6.7643742953775732E-3</v>
      </c>
      <c r="H1022" s="179"/>
      <c r="R1022" s="199">
        <v>43108</v>
      </c>
      <c r="S1022" s="180">
        <v>4.2919999999999998</v>
      </c>
    </row>
    <row r="1023" spans="2:19">
      <c r="B1023" s="198">
        <v>45113</v>
      </c>
      <c r="C1023" s="178">
        <v>88555.28</v>
      </c>
      <c r="D1023">
        <f t="shared" si="31"/>
        <v>-1.1822275199623977E-2</v>
      </c>
      <c r="E1023" s="179">
        <v>35.1</v>
      </c>
      <c r="F1023">
        <f t="shared" si="32"/>
        <v>-3.9727582292848895E-3</v>
      </c>
      <c r="H1023" s="179"/>
      <c r="R1023" s="199">
        <v>43109</v>
      </c>
      <c r="S1023" s="180">
        <v>4.2919999999999998</v>
      </c>
    </row>
    <row r="1024" spans="2:19">
      <c r="B1024" s="198">
        <v>45114</v>
      </c>
      <c r="C1024" s="178">
        <v>87101.69</v>
      </c>
      <c r="D1024">
        <f t="shared" si="31"/>
        <v>-1.6414492732674923E-2</v>
      </c>
      <c r="E1024" s="179">
        <v>34.58</v>
      </c>
      <c r="F1024">
        <f t="shared" si="32"/>
        <v>-1.4814814814814947E-2</v>
      </c>
      <c r="H1024" s="179"/>
      <c r="R1024" s="199">
        <v>43110</v>
      </c>
      <c r="S1024" s="180">
        <v>4.2919999999999998</v>
      </c>
    </row>
    <row r="1025" spans="2:19">
      <c r="B1025" s="198">
        <v>45117</v>
      </c>
      <c r="C1025" s="178">
        <v>86654.91</v>
      </c>
      <c r="D1025">
        <f t="shared" si="31"/>
        <v>-5.1294067887776018E-3</v>
      </c>
      <c r="E1025" s="179">
        <v>34.369999999999997</v>
      </c>
      <c r="F1025">
        <f t="shared" si="32"/>
        <v>-6.0728744939271273E-3</v>
      </c>
      <c r="H1025" s="179"/>
      <c r="R1025" s="199">
        <v>43111</v>
      </c>
      <c r="S1025" s="180">
        <v>4.2919999999999998</v>
      </c>
    </row>
    <row r="1026" spans="2:19">
      <c r="B1026" s="198">
        <v>45118</v>
      </c>
      <c r="C1026" s="178">
        <v>87964.36</v>
      </c>
      <c r="D1026">
        <f t="shared" si="31"/>
        <v>1.5111088338791046E-2</v>
      </c>
      <c r="E1026" s="179">
        <v>34.83</v>
      </c>
      <c r="F1026">
        <f t="shared" si="32"/>
        <v>1.338376491125981E-2</v>
      </c>
      <c r="H1026" s="179"/>
      <c r="R1026" s="199">
        <v>43112</v>
      </c>
      <c r="S1026" s="180">
        <v>4.2919999999999998</v>
      </c>
    </row>
    <row r="1027" spans="2:19">
      <c r="B1027" s="198">
        <v>45119</v>
      </c>
      <c r="C1027" s="178">
        <v>88273.51</v>
      </c>
      <c r="D1027">
        <f t="shared" si="31"/>
        <v>3.514491550896226E-3</v>
      </c>
      <c r="E1027" s="179">
        <v>34.64</v>
      </c>
      <c r="F1027">
        <f t="shared" si="32"/>
        <v>-5.4550674705712288E-3</v>
      </c>
      <c r="H1027" s="179"/>
      <c r="R1027" s="199">
        <v>43115</v>
      </c>
      <c r="S1027" s="180">
        <v>4.2919999999999998</v>
      </c>
    </row>
    <row r="1028" spans="2:19">
      <c r="B1028" s="198">
        <v>45120</v>
      </c>
      <c r="C1028" s="178">
        <v>89643.01</v>
      </c>
      <c r="D1028">
        <f t="shared" si="31"/>
        <v>1.5514280558233118E-2</v>
      </c>
      <c r="E1028" s="179">
        <v>35.18</v>
      </c>
      <c r="F1028">
        <f t="shared" si="32"/>
        <v>1.5588914549653499E-2</v>
      </c>
      <c r="H1028" s="179"/>
      <c r="R1028" s="199">
        <v>43116</v>
      </c>
      <c r="S1028" s="180">
        <v>4.2919999999999998</v>
      </c>
    </row>
    <row r="1029" spans="2:19">
      <c r="B1029" s="198">
        <v>45121</v>
      </c>
      <c r="C1029" s="178">
        <v>90385.02</v>
      </c>
      <c r="D1029">
        <f t="shared" si="31"/>
        <v>8.2773882760074358E-3</v>
      </c>
      <c r="E1029" s="179">
        <v>35.71</v>
      </c>
      <c r="F1029">
        <f t="shared" si="32"/>
        <v>1.5065378055713508E-2</v>
      </c>
      <c r="H1029" s="179"/>
      <c r="R1029" s="199">
        <v>43117</v>
      </c>
      <c r="S1029" s="180">
        <v>4.2919999999999998</v>
      </c>
    </row>
    <row r="1030" spans="2:19">
      <c r="B1030" s="198">
        <v>45124</v>
      </c>
      <c r="C1030" s="178">
        <v>90318.82</v>
      </c>
      <c r="D1030">
        <f t="shared" si="31"/>
        <v>-7.3242225315650611E-4</v>
      </c>
      <c r="E1030" s="179">
        <v>36.03</v>
      </c>
      <c r="F1030">
        <f t="shared" si="32"/>
        <v>8.9610753290394474E-3</v>
      </c>
      <c r="H1030" s="179"/>
      <c r="R1030" s="199">
        <v>43118</v>
      </c>
      <c r="S1030" s="180">
        <v>4.2919999999999998</v>
      </c>
    </row>
    <row r="1031" spans="2:19">
      <c r="B1031" s="198">
        <v>45125</v>
      </c>
      <c r="C1031" s="178">
        <v>90142.83</v>
      </c>
      <c r="D1031">
        <f t="shared" si="31"/>
        <v>-1.9485418432172441E-3</v>
      </c>
      <c r="E1031" s="179">
        <v>35.590000000000003</v>
      </c>
      <c r="F1031">
        <f t="shared" si="32"/>
        <v>-1.2212045517624115E-2</v>
      </c>
      <c r="H1031" s="179"/>
      <c r="R1031" s="199">
        <v>43119</v>
      </c>
      <c r="S1031" s="180">
        <v>4.2919999999999998</v>
      </c>
    </row>
    <row r="1032" spans="2:19">
      <c r="B1032" s="198">
        <v>45126</v>
      </c>
      <c r="C1032" s="178">
        <v>90642.66</v>
      </c>
      <c r="D1032">
        <f t="shared" ref="D1032:D1095" si="33">(C1032/C1031)-1</f>
        <v>5.5448669627966574E-3</v>
      </c>
      <c r="E1032" s="179">
        <v>35.31</v>
      </c>
      <c r="F1032">
        <f t="shared" ref="F1032:F1095" si="34">(E1032/E1031)-1</f>
        <v>-7.8673784771003952E-3</v>
      </c>
      <c r="H1032" s="179"/>
      <c r="R1032" s="199">
        <v>43122</v>
      </c>
      <c r="S1032" s="180">
        <v>4.2919999999999998</v>
      </c>
    </row>
    <row r="1033" spans="2:19">
      <c r="B1033" s="198">
        <v>45127</v>
      </c>
      <c r="C1033" s="178">
        <v>90686.52</v>
      </c>
      <c r="D1033">
        <f t="shared" si="33"/>
        <v>4.8387812096417626E-4</v>
      </c>
      <c r="E1033" s="179">
        <v>35.07</v>
      </c>
      <c r="F1033">
        <f t="shared" si="34"/>
        <v>-6.7969413763806497E-3</v>
      </c>
      <c r="H1033" s="179"/>
      <c r="R1033" s="199">
        <v>43123</v>
      </c>
      <c r="S1033" s="180">
        <v>4.2919999999999998</v>
      </c>
    </row>
    <row r="1034" spans="2:19">
      <c r="B1034" s="198">
        <v>45128</v>
      </c>
      <c r="C1034" s="178">
        <v>90504.99</v>
      </c>
      <c r="D1034">
        <f t="shared" si="33"/>
        <v>-2.0017307974767862E-3</v>
      </c>
      <c r="E1034" s="179">
        <v>35.340000000000003</v>
      </c>
      <c r="F1034">
        <f t="shared" si="34"/>
        <v>7.6988879384090048E-3</v>
      </c>
      <c r="H1034" s="179"/>
      <c r="R1034" s="199">
        <v>43124</v>
      </c>
      <c r="S1034" s="180">
        <v>4.2919999999999998</v>
      </c>
    </row>
    <row r="1035" spans="2:19">
      <c r="B1035" s="198">
        <v>45131</v>
      </c>
      <c r="C1035" s="178">
        <v>90390.8</v>
      </c>
      <c r="D1035">
        <f t="shared" si="33"/>
        <v>-1.2616983881220678E-3</v>
      </c>
      <c r="E1035" s="179">
        <v>35.5</v>
      </c>
      <c r="F1035">
        <f t="shared" si="34"/>
        <v>4.5274476513863515E-3</v>
      </c>
      <c r="H1035" s="179"/>
      <c r="R1035" s="199">
        <v>43125</v>
      </c>
      <c r="S1035" s="180">
        <v>4.2919999999999998</v>
      </c>
    </row>
    <row r="1036" spans="2:19">
      <c r="B1036" s="198">
        <v>45132</v>
      </c>
      <c r="C1036" s="178">
        <v>90840.45</v>
      </c>
      <c r="D1036">
        <f t="shared" si="33"/>
        <v>4.9745106802903116E-3</v>
      </c>
      <c r="E1036" s="179">
        <v>35.04</v>
      </c>
      <c r="F1036">
        <f t="shared" si="34"/>
        <v>-1.2957746478873267E-2</v>
      </c>
      <c r="H1036" s="179"/>
      <c r="R1036" s="199">
        <v>43129</v>
      </c>
      <c r="S1036" s="180">
        <v>4.2919999999999998</v>
      </c>
    </row>
    <row r="1037" spans="2:19">
      <c r="B1037" s="198">
        <v>45133</v>
      </c>
      <c r="C1037" s="178">
        <v>91600.05</v>
      </c>
      <c r="D1037">
        <f t="shared" si="33"/>
        <v>8.361913662911169E-3</v>
      </c>
      <c r="E1037" s="179">
        <v>35.159999999999997</v>
      </c>
      <c r="F1037">
        <f t="shared" si="34"/>
        <v>3.424657534246478E-3</v>
      </c>
      <c r="H1037" s="179"/>
      <c r="R1037" s="199">
        <v>43130</v>
      </c>
      <c r="S1037" s="180">
        <v>4.2919999999999998</v>
      </c>
    </row>
    <row r="1038" spans="2:19">
      <c r="B1038" s="198">
        <v>45134</v>
      </c>
      <c r="C1038" s="178">
        <v>92258.06</v>
      </c>
      <c r="D1038">
        <f t="shared" si="33"/>
        <v>7.1835113627121139E-3</v>
      </c>
      <c r="E1038" s="179">
        <v>35.5</v>
      </c>
      <c r="F1038">
        <f t="shared" si="34"/>
        <v>9.670079635950124E-3</v>
      </c>
      <c r="H1038" s="179"/>
      <c r="R1038" s="199">
        <v>43131</v>
      </c>
      <c r="S1038" s="180">
        <v>4.2919999999999998</v>
      </c>
    </row>
    <row r="1039" spans="2:19">
      <c r="B1039" s="198">
        <v>45135</v>
      </c>
      <c r="C1039" s="178">
        <v>91578.82</v>
      </c>
      <c r="D1039">
        <f t="shared" si="33"/>
        <v>-7.3623919687882955E-3</v>
      </c>
      <c r="E1039" s="179">
        <v>34.92</v>
      </c>
      <c r="F1039">
        <f t="shared" si="34"/>
        <v>-1.6338028169014085E-2</v>
      </c>
      <c r="H1039" s="179"/>
      <c r="R1039" s="199">
        <v>43132</v>
      </c>
      <c r="S1039" s="180">
        <v>4.2919999999999998</v>
      </c>
    </row>
    <row r="1040" spans="2:19">
      <c r="B1040" s="198">
        <v>45138</v>
      </c>
      <c r="C1040" s="178">
        <v>91651.88</v>
      </c>
      <c r="D1040">
        <f t="shared" si="33"/>
        <v>7.9778271875530216E-4</v>
      </c>
      <c r="E1040" s="179">
        <v>35.15</v>
      </c>
      <c r="F1040">
        <f t="shared" si="34"/>
        <v>6.5864833906070785E-3</v>
      </c>
      <c r="H1040" s="179"/>
      <c r="R1040" s="199">
        <v>43133</v>
      </c>
      <c r="S1040" s="180">
        <v>4.2919999999999998</v>
      </c>
    </row>
    <row r="1041" spans="2:19">
      <c r="B1041" s="198">
        <v>45139</v>
      </c>
      <c r="C1041" s="178">
        <v>92151.74</v>
      </c>
      <c r="D1041">
        <f t="shared" si="33"/>
        <v>5.4538979451377312E-3</v>
      </c>
      <c r="E1041" s="179">
        <v>35.119999999999997</v>
      </c>
      <c r="F1041">
        <f t="shared" si="34"/>
        <v>-8.5348506401139446E-4</v>
      </c>
      <c r="H1041" s="179"/>
      <c r="R1041" s="199">
        <v>43136</v>
      </c>
      <c r="S1041" s="180">
        <v>4.2919999999999998</v>
      </c>
    </row>
    <row r="1042" spans="2:19">
      <c r="B1042" s="198">
        <v>45140</v>
      </c>
      <c r="C1042" s="178">
        <v>91005.56</v>
      </c>
      <c r="D1042">
        <f t="shared" si="33"/>
        <v>-1.2437963732426671E-2</v>
      </c>
      <c r="E1042" s="179">
        <v>34.53</v>
      </c>
      <c r="F1042">
        <f t="shared" si="34"/>
        <v>-1.6799544419134338E-2</v>
      </c>
      <c r="H1042" s="179"/>
      <c r="R1042" s="199">
        <v>43137</v>
      </c>
      <c r="S1042" s="180">
        <v>4.2919999999999998</v>
      </c>
    </row>
    <row r="1043" spans="2:19">
      <c r="B1043" s="198">
        <v>45141</v>
      </c>
      <c r="C1043" s="178">
        <v>90453.22</v>
      </c>
      <c r="D1043">
        <f t="shared" si="33"/>
        <v>-6.0692995021403018E-3</v>
      </c>
      <c r="E1043" s="179">
        <v>34.46</v>
      </c>
      <c r="F1043">
        <f t="shared" si="34"/>
        <v>-2.0272227048943048E-3</v>
      </c>
      <c r="H1043" s="179"/>
      <c r="R1043" s="199">
        <v>43138</v>
      </c>
      <c r="S1043" s="180">
        <v>4.2919999999999998</v>
      </c>
    </row>
    <row r="1044" spans="2:19">
      <c r="B1044" s="198">
        <v>45142</v>
      </c>
      <c r="C1044" s="178">
        <v>90617.16</v>
      </c>
      <c r="D1044">
        <f t="shared" si="33"/>
        <v>1.8124285680487517E-3</v>
      </c>
      <c r="E1044" s="179">
        <v>34.1</v>
      </c>
      <c r="F1044">
        <f t="shared" si="34"/>
        <v>-1.0446894950667418E-2</v>
      </c>
      <c r="H1044" s="179"/>
      <c r="R1044" s="199">
        <v>43139</v>
      </c>
      <c r="S1044" s="180">
        <v>4.2919999999999998</v>
      </c>
    </row>
    <row r="1045" spans="2:19">
      <c r="B1045" s="198">
        <v>45145</v>
      </c>
      <c r="C1045" s="178">
        <v>90424.84</v>
      </c>
      <c r="D1045">
        <f t="shared" si="33"/>
        <v>-2.1223353280991342E-3</v>
      </c>
      <c r="E1045" s="179">
        <v>34.049999999999997</v>
      </c>
      <c r="F1045">
        <f t="shared" si="34"/>
        <v>-1.4662756598241566E-3</v>
      </c>
      <c r="H1045" s="179"/>
      <c r="R1045" s="199">
        <v>43140</v>
      </c>
      <c r="S1045" s="180">
        <v>4.2919999999999998</v>
      </c>
    </row>
    <row r="1046" spans="2:19">
      <c r="B1046" s="198">
        <v>45146</v>
      </c>
      <c r="C1046" s="178">
        <v>90422.63</v>
      </c>
      <c r="D1046">
        <f t="shared" si="33"/>
        <v>-2.444018701042161E-5</v>
      </c>
      <c r="E1046" s="179">
        <v>34.25</v>
      </c>
      <c r="F1046">
        <f t="shared" si="34"/>
        <v>5.8737151248164921E-3</v>
      </c>
      <c r="H1046" s="179"/>
      <c r="R1046" s="199">
        <v>43143</v>
      </c>
      <c r="S1046" s="180">
        <v>4.2919999999999998</v>
      </c>
    </row>
    <row r="1047" spans="2:19">
      <c r="B1047" s="198">
        <v>45147</v>
      </c>
      <c r="C1047" s="178">
        <v>90707.34</v>
      </c>
      <c r="D1047">
        <f t="shared" si="33"/>
        <v>3.1486586930726812E-3</v>
      </c>
      <c r="E1047" s="179">
        <v>34.21</v>
      </c>
      <c r="F1047">
        <f t="shared" si="34"/>
        <v>-1.1678832116788218E-3</v>
      </c>
      <c r="H1047" s="179"/>
      <c r="R1047" s="199">
        <v>43144</v>
      </c>
      <c r="S1047" s="180">
        <v>4.2919999999999998</v>
      </c>
    </row>
    <row r="1048" spans="2:19">
      <c r="B1048" s="198">
        <v>45148</v>
      </c>
      <c r="C1048" s="178">
        <v>91044.02</v>
      </c>
      <c r="D1048">
        <f t="shared" si="33"/>
        <v>3.7117172656591091E-3</v>
      </c>
      <c r="E1048" s="179">
        <v>34.270000000000003</v>
      </c>
      <c r="F1048">
        <f t="shared" si="34"/>
        <v>1.7538731365098759E-3</v>
      </c>
      <c r="H1048" s="179"/>
      <c r="R1048" s="199">
        <v>43145</v>
      </c>
      <c r="S1048" s="180">
        <v>4.2919999999999998</v>
      </c>
    </row>
    <row r="1049" spans="2:19">
      <c r="B1049" s="198">
        <v>45149</v>
      </c>
      <c r="C1049" s="178">
        <v>90873.17</v>
      </c>
      <c r="D1049">
        <f t="shared" si="33"/>
        <v>-1.8765647650444972E-3</v>
      </c>
      <c r="E1049" s="179">
        <v>34.14</v>
      </c>
      <c r="F1049">
        <f t="shared" si="34"/>
        <v>-3.7934053107675503E-3</v>
      </c>
      <c r="H1049" s="179"/>
      <c r="R1049" s="199">
        <v>43146</v>
      </c>
      <c r="S1049" s="180">
        <v>4.2919999999999998</v>
      </c>
    </row>
    <row r="1050" spans="2:19">
      <c r="B1050" s="198">
        <v>45152</v>
      </c>
      <c r="C1050" s="178">
        <v>90150.53</v>
      </c>
      <c r="D1050">
        <f t="shared" si="33"/>
        <v>-7.9521821457312347E-3</v>
      </c>
      <c r="E1050" s="179">
        <v>33.81</v>
      </c>
      <c r="F1050">
        <f t="shared" si="34"/>
        <v>-9.666080843585223E-3</v>
      </c>
      <c r="H1050" s="179"/>
      <c r="R1050" s="199">
        <v>43147</v>
      </c>
      <c r="S1050" s="180">
        <v>4.2919999999999998</v>
      </c>
    </row>
    <row r="1051" spans="2:19">
      <c r="B1051" s="198">
        <v>45153</v>
      </c>
      <c r="C1051" s="178">
        <v>90478.89</v>
      </c>
      <c r="D1051">
        <f t="shared" si="33"/>
        <v>3.6423524076896197E-3</v>
      </c>
      <c r="E1051" s="179">
        <v>34.08</v>
      </c>
      <c r="F1051">
        <f t="shared" si="34"/>
        <v>7.9858030168586946E-3</v>
      </c>
      <c r="H1051" s="179"/>
      <c r="R1051" s="199">
        <v>43150</v>
      </c>
      <c r="S1051" s="180">
        <v>4.2919999999999998</v>
      </c>
    </row>
    <row r="1052" spans="2:19">
      <c r="B1052" s="198">
        <v>45154</v>
      </c>
      <c r="C1052" s="178">
        <v>89322.29</v>
      </c>
      <c r="D1052">
        <f t="shared" si="33"/>
        <v>-1.2783092277104724E-2</v>
      </c>
      <c r="E1052" s="179">
        <v>33.97</v>
      </c>
      <c r="F1052">
        <f t="shared" si="34"/>
        <v>-3.2276995305163814E-3</v>
      </c>
      <c r="H1052" s="179"/>
      <c r="R1052" s="199">
        <v>43151</v>
      </c>
      <c r="S1052" s="180">
        <v>4.2919999999999998</v>
      </c>
    </row>
    <row r="1053" spans="2:19">
      <c r="B1053" s="198">
        <v>45155</v>
      </c>
      <c r="C1053" s="178">
        <v>88773.99</v>
      </c>
      <c r="D1053">
        <f t="shared" si="33"/>
        <v>-6.1384453981194742E-3</v>
      </c>
      <c r="E1053" s="179">
        <v>32.03</v>
      </c>
      <c r="F1053">
        <f t="shared" si="34"/>
        <v>-5.7109214012363796E-2</v>
      </c>
      <c r="H1053" s="179"/>
      <c r="R1053" s="199">
        <v>43152</v>
      </c>
      <c r="S1053" s="180">
        <v>4.2919999999999998</v>
      </c>
    </row>
    <row r="1054" spans="2:19">
      <c r="B1054" s="198">
        <v>45156</v>
      </c>
      <c r="C1054" s="178">
        <v>88808.63</v>
      </c>
      <c r="D1054">
        <f t="shared" si="33"/>
        <v>3.9020438306303085E-4</v>
      </c>
      <c r="E1054" s="179">
        <v>32.57</v>
      </c>
      <c r="F1054">
        <f t="shared" si="34"/>
        <v>1.6859194505151498E-2</v>
      </c>
      <c r="H1054" s="179"/>
      <c r="R1054" s="199">
        <v>43153</v>
      </c>
      <c r="S1054" s="180">
        <v>4.2919999999999998</v>
      </c>
    </row>
    <row r="1055" spans="2:19">
      <c r="B1055" s="198">
        <v>45159</v>
      </c>
      <c r="C1055" s="178">
        <v>88460.25</v>
      </c>
      <c r="D1055">
        <f t="shared" si="33"/>
        <v>-3.9228169604689223E-3</v>
      </c>
      <c r="E1055" s="179">
        <v>32.25</v>
      </c>
      <c r="F1055">
        <f t="shared" si="34"/>
        <v>-9.824992324224735E-3</v>
      </c>
      <c r="H1055" s="179"/>
      <c r="R1055" s="199">
        <v>43154</v>
      </c>
      <c r="S1055" s="180">
        <v>4.2919999999999998</v>
      </c>
    </row>
    <row r="1056" spans="2:19">
      <c r="B1056" s="198">
        <v>45160</v>
      </c>
      <c r="C1056" s="178">
        <v>88605.07</v>
      </c>
      <c r="D1056">
        <f t="shared" si="33"/>
        <v>1.6371194971753766E-3</v>
      </c>
      <c r="E1056" s="179">
        <v>32.11</v>
      </c>
      <c r="F1056">
        <f t="shared" si="34"/>
        <v>-4.3410852713178238E-3</v>
      </c>
      <c r="H1056" s="179"/>
      <c r="R1056" s="199">
        <v>43157</v>
      </c>
      <c r="S1056" s="180">
        <v>4.2919999999999998</v>
      </c>
    </row>
    <row r="1057" spans="2:19">
      <c r="B1057" s="198">
        <v>45161</v>
      </c>
      <c r="C1057" s="178">
        <v>88875.32</v>
      </c>
      <c r="D1057">
        <f t="shared" si="33"/>
        <v>3.0500511991018442E-3</v>
      </c>
      <c r="E1057" s="179">
        <v>31.89</v>
      </c>
      <c r="F1057">
        <f t="shared" si="34"/>
        <v>-6.8514481469946764E-3</v>
      </c>
      <c r="H1057" s="179"/>
      <c r="R1057" s="199">
        <v>43158</v>
      </c>
      <c r="S1057" s="180">
        <v>4.2919999999999998</v>
      </c>
    </row>
    <row r="1058" spans="2:19">
      <c r="B1058" s="198">
        <v>45162</v>
      </c>
      <c r="C1058" s="178">
        <v>89282.12</v>
      </c>
      <c r="D1058">
        <f t="shared" si="33"/>
        <v>4.5771987093827793E-3</v>
      </c>
      <c r="E1058" s="179">
        <v>32.08</v>
      </c>
      <c r="F1058">
        <f t="shared" si="34"/>
        <v>5.9579805581686518E-3</v>
      </c>
      <c r="H1058" s="179"/>
      <c r="R1058" s="199">
        <v>43159</v>
      </c>
      <c r="S1058" s="180">
        <v>4.2919999999999998</v>
      </c>
    </row>
    <row r="1059" spans="2:19">
      <c r="B1059" s="198">
        <v>45163</v>
      </c>
      <c r="C1059" s="178">
        <v>88465.27</v>
      </c>
      <c r="D1059">
        <f t="shared" si="33"/>
        <v>-9.149088305698716E-3</v>
      </c>
      <c r="E1059" s="179">
        <v>31.88</v>
      </c>
      <c r="F1059">
        <f t="shared" si="34"/>
        <v>-6.2344139650872821E-3</v>
      </c>
      <c r="H1059" s="179"/>
      <c r="R1059" s="199">
        <v>43160</v>
      </c>
      <c r="S1059" s="180">
        <v>4.2919999999999998</v>
      </c>
    </row>
    <row r="1060" spans="2:19">
      <c r="B1060" s="198">
        <v>45166</v>
      </c>
      <c r="C1060" s="178">
        <v>88896.34</v>
      </c>
      <c r="D1060">
        <f t="shared" si="33"/>
        <v>4.872759671676663E-3</v>
      </c>
      <c r="E1060" s="179">
        <v>32.21</v>
      </c>
      <c r="F1060">
        <f t="shared" si="34"/>
        <v>1.035131744040152E-2</v>
      </c>
      <c r="H1060" s="179"/>
      <c r="R1060" s="199">
        <v>43161</v>
      </c>
      <c r="S1060" s="180">
        <v>4.2919999999999998</v>
      </c>
    </row>
    <row r="1061" spans="2:19">
      <c r="B1061" s="198">
        <v>45167</v>
      </c>
      <c r="C1061" s="178">
        <v>89524.98</v>
      </c>
      <c r="D1061">
        <f t="shared" si="33"/>
        <v>7.0716072225245341E-3</v>
      </c>
      <c r="E1061" s="179">
        <v>31.99</v>
      </c>
      <c r="F1061">
        <f t="shared" si="34"/>
        <v>-6.830176963675938E-3</v>
      </c>
      <c r="H1061" s="179"/>
      <c r="R1061" s="199">
        <v>43164</v>
      </c>
      <c r="S1061" s="180">
        <v>4.2919999999999998</v>
      </c>
    </row>
    <row r="1062" spans="2:19">
      <c r="B1062" s="198">
        <v>45168</v>
      </c>
      <c r="C1062" s="178">
        <v>90701.66</v>
      </c>
      <c r="D1062">
        <f t="shared" si="33"/>
        <v>1.3143594111945101E-2</v>
      </c>
      <c r="E1062" s="179">
        <v>32.31</v>
      </c>
      <c r="F1062">
        <f t="shared" si="34"/>
        <v>1.000312597686781E-2</v>
      </c>
      <c r="H1062" s="179"/>
      <c r="R1062" s="199">
        <v>43165</v>
      </c>
      <c r="S1062" s="180">
        <v>4.2919999999999998</v>
      </c>
    </row>
    <row r="1063" spans="2:19">
      <c r="B1063" s="198">
        <v>45169</v>
      </c>
      <c r="C1063" s="178">
        <v>90974.07</v>
      </c>
      <c r="D1063">
        <f t="shared" si="33"/>
        <v>3.003362893247985E-3</v>
      </c>
      <c r="E1063" s="179">
        <v>32.159999999999997</v>
      </c>
      <c r="F1063">
        <f t="shared" si="34"/>
        <v>-4.6425255338906624E-3</v>
      </c>
      <c r="H1063" s="179"/>
      <c r="R1063" s="199">
        <v>43166</v>
      </c>
      <c r="S1063" s="180">
        <v>4.2919999999999998</v>
      </c>
    </row>
    <row r="1064" spans="2:19">
      <c r="B1064" s="198">
        <v>45170</v>
      </c>
      <c r="C1064" s="178">
        <v>90670.27</v>
      </c>
      <c r="D1064">
        <f t="shared" si="33"/>
        <v>-3.3394130877073547E-3</v>
      </c>
      <c r="E1064" s="179">
        <v>32.200000000000003</v>
      </c>
      <c r="F1064">
        <f t="shared" si="34"/>
        <v>1.2437810945276073E-3</v>
      </c>
      <c r="H1064" s="179"/>
      <c r="R1064" s="199">
        <v>43167</v>
      </c>
      <c r="S1064" s="180">
        <v>4.2919999999999998</v>
      </c>
    </row>
    <row r="1065" spans="2:19">
      <c r="B1065" s="198">
        <v>45173</v>
      </c>
      <c r="C1065" s="178">
        <v>91233.41</v>
      </c>
      <c r="D1065">
        <f t="shared" si="33"/>
        <v>6.2108561053142441E-3</v>
      </c>
      <c r="E1065" s="179">
        <v>32.119999999999997</v>
      </c>
      <c r="F1065">
        <f t="shared" si="34"/>
        <v>-2.4844720496896011E-3</v>
      </c>
      <c r="H1065" s="179"/>
      <c r="R1065" s="199">
        <v>43168</v>
      </c>
      <c r="S1065" s="180">
        <v>4.2919999999999998</v>
      </c>
    </row>
    <row r="1066" spans="2:19">
      <c r="B1066" s="198">
        <v>45174</v>
      </c>
      <c r="C1066" s="178">
        <v>91187.89</v>
      </c>
      <c r="D1066">
        <f t="shared" si="33"/>
        <v>-4.9894002646622138E-4</v>
      </c>
      <c r="E1066" s="179">
        <v>32.39</v>
      </c>
      <c r="F1066">
        <f t="shared" si="34"/>
        <v>8.4059775840599205E-3</v>
      </c>
      <c r="H1066" s="179"/>
      <c r="R1066" s="199">
        <v>43171</v>
      </c>
      <c r="S1066" s="180">
        <v>4.2919999999999998</v>
      </c>
    </row>
    <row r="1067" spans="2:19">
      <c r="B1067" s="198">
        <v>45175</v>
      </c>
      <c r="C1067" s="178">
        <v>90544.4</v>
      </c>
      <c r="D1067">
        <f t="shared" si="33"/>
        <v>-7.0567484344686848E-3</v>
      </c>
      <c r="E1067" s="179">
        <v>31.34</v>
      </c>
      <c r="F1067">
        <f t="shared" si="34"/>
        <v>-3.2417412781722721E-2</v>
      </c>
      <c r="H1067" s="179"/>
      <c r="R1067" s="199">
        <v>43172</v>
      </c>
      <c r="S1067" s="180">
        <v>4.2919999999999998</v>
      </c>
    </row>
    <row r="1068" spans="2:19">
      <c r="B1068" s="198">
        <v>45176</v>
      </c>
      <c r="C1068" s="178">
        <v>89755.75</v>
      </c>
      <c r="D1068">
        <f t="shared" si="33"/>
        <v>-8.710091402670872E-3</v>
      </c>
      <c r="E1068" s="179">
        <v>31.12</v>
      </c>
      <c r="F1068">
        <f t="shared" si="34"/>
        <v>-7.0197830248882598E-3</v>
      </c>
      <c r="H1068" s="179"/>
      <c r="R1068" s="199">
        <v>43173</v>
      </c>
      <c r="S1068" s="180">
        <v>4.2919999999999998</v>
      </c>
    </row>
    <row r="1069" spans="2:19">
      <c r="B1069" s="198">
        <v>45177</v>
      </c>
      <c r="C1069" s="178">
        <v>89563.94</v>
      </c>
      <c r="D1069">
        <f t="shared" si="33"/>
        <v>-2.1370218621090675E-3</v>
      </c>
      <c r="E1069" s="179">
        <v>31.1</v>
      </c>
      <c r="F1069">
        <f t="shared" si="34"/>
        <v>-6.4267352185087834E-4</v>
      </c>
      <c r="H1069" s="179"/>
      <c r="R1069" s="199">
        <v>43174</v>
      </c>
      <c r="S1069" s="180">
        <v>4.2919999999999998</v>
      </c>
    </row>
    <row r="1070" spans="2:19">
      <c r="B1070" s="198">
        <v>45180</v>
      </c>
      <c r="C1070" s="178">
        <v>89966.79</v>
      </c>
      <c r="D1070">
        <f t="shared" si="33"/>
        <v>4.4979039555426148E-3</v>
      </c>
      <c r="E1070" s="179">
        <v>30.95</v>
      </c>
      <c r="F1070">
        <f t="shared" si="34"/>
        <v>-4.8231511254019921E-3</v>
      </c>
      <c r="H1070" s="179"/>
      <c r="R1070" s="199">
        <v>43175</v>
      </c>
      <c r="S1070" s="180">
        <v>4.2919999999999998</v>
      </c>
    </row>
    <row r="1071" spans="2:19">
      <c r="B1071" s="198">
        <v>45181</v>
      </c>
      <c r="C1071" s="178">
        <v>90166.2</v>
      </c>
      <c r="D1071">
        <f t="shared" si="33"/>
        <v>2.2164845494654362E-3</v>
      </c>
      <c r="E1071" s="179">
        <v>31.39</v>
      </c>
      <c r="F1071">
        <f t="shared" si="34"/>
        <v>1.4216478190629989E-2</v>
      </c>
      <c r="H1071" s="179"/>
      <c r="R1071" s="199">
        <v>43178</v>
      </c>
      <c r="S1071" s="180">
        <v>4.2919999999999998</v>
      </c>
    </row>
    <row r="1072" spans="2:19">
      <c r="B1072" s="198">
        <v>45182</v>
      </c>
      <c r="C1072" s="178">
        <v>89504.94</v>
      </c>
      <c r="D1072">
        <f t="shared" si="33"/>
        <v>-7.3337902673062949E-3</v>
      </c>
      <c r="E1072" s="179">
        <v>31.1</v>
      </c>
      <c r="F1072">
        <f t="shared" si="34"/>
        <v>-9.2386110226186924E-3</v>
      </c>
      <c r="H1072" s="179"/>
      <c r="R1072" s="199">
        <v>43179</v>
      </c>
      <c r="S1072" s="180">
        <v>4.2919999999999998</v>
      </c>
    </row>
    <row r="1073" spans="2:19">
      <c r="B1073" s="198">
        <v>45183</v>
      </c>
      <c r="C1073" s="178">
        <v>89979.08</v>
      </c>
      <c r="D1073">
        <f t="shared" si="33"/>
        <v>5.2973612406197468E-3</v>
      </c>
      <c r="E1073" s="179">
        <v>31.09</v>
      </c>
      <c r="F1073">
        <f t="shared" si="34"/>
        <v>-3.2154340836021422E-4</v>
      </c>
      <c r="H1073" s="179"/>
      <c r="R1073" s="199">
        <v>43180</v>
      </c>
      <c r="S1073" s="180">
        <v>4.2919999999999998</v>
      </c>
    </row>
    <row r="1074" spans="2:19">
      <c r="B1074" s="198">
        <v>45184</v>
      </c>
      <c r="C1074" s="178">
        <v>91200.95</v>
      </c>
      <c r="D1074">
        <f t="shared" si="33"/>
        <v>1.3579489810298107E-2</v>
      </c>
      <c r="E1074" s="179">
        <v>31.02</v>
      </c>
      <c r="F1074">
        <f t="shared" si="34"/>
        <v>-2.2515278224509716E-3</v>
      </c>
      <c r="H1074" s="179"/>
      <c r="R1074" s="199">
        <v>43181</v>
      </c>
      <c r="S1074" s="180">
        <v>4.2919999999999998</v>
      </c>
    </row>
    <row r="1075" spans="2:19">
      <c r="B1075" s="198">
        <v>45187</v>
      </c>
      <c r="C1075" s="178">
        <v>90545.14</v>
      </c>
      <c r="D1075">
        <f t="shared" si="33"/>
        <v>-7.1908242183880144E-3</v>
      </c>
      <c r="E1075" s="179">
        <v>31</v>
      </c>
      <c r="F1075">
        <f t="shared" si="34"/>
        <v>-6.447453255963298E-4</v>
      </c>
      <c r="H1075" s="179"/>
      <c r="R1075" s="199">
        <v>43182</v>
      </c>
      <c r="S1075" s="180">
        <v>4.2919999999999998</v>
      </c>
    </row>
    <row r="1076" spans="2:19">
      <c r="B1076" s="198">
        <v>45188</v>
      </c>
      <c r="C1076" s="178">
        <v>90143.11</v>
      </c>
      <c r="D1076">
        <f t="shared" si="33"/>
        <v>-4.4401057859096982E-3</v>
      </c>
      <c r="E1076" s="179">
        <v>30.45</v>
      </c>
      <c r="F1076">
        <f t="shared" si="34"/>
        <v>-1.7741935483871041E-2</v>
      </c>
      <c r="H1076" s="179"/>
      <c r="R1076" s="199">
        <v>43185</v>
      </c>
      <c r="S1076" s="180">
        <v>4.2919999999999998</v>
      </c>
    </row>
    <row r="1077" spans="2:19">
      <c r="B1077" s="198">
        <v>45189</v>
      </c>
      <c r="C1077" s="178">
        <v>89742.66</v>
      </c>
      <c r="D1077">
        <f t="shared" si="33"/>
        <v>-4.4423805657470838E-3</v>
      </c>
      <c r="E1077" s="179">
        <v>30.06</v>
      </c>
      <c r="F1077">
        <f t="shared" si="34"/>
        <v>-1.2807881773399088E-2</v>
      </c>
      <c r="H1077" s="179"/>
      <c r="R1077" s="199">
        <v>43186</v>
      </c>
      <c r="S1077" s="180">
        <v>4.2919999999999998</v>
      </c>
    </row>
    <row r="1078" spans="2:19">
      <c r="B1078" s="198">
        <v>45190</v>
      </c>
      <c r="C1078" s="178">
        <v>88583.02</v>
      </c>
      <c r="D1078">
        <f t="shared" si="33"/>
        <v>-1.292183672737135E-2</v>
      </c>
      <c r="E1078" s="179">
        <v>30.36</v>
      </c>
      <c r="F1078">
        <f t="shared" si="34"/>
        <v>9.9800399201597223E-3</v>
      </c>
      <c r="H1078" s="179"/>
      <c r="R1078" s="199">
        <v>43187</v>
      </c>
      <c r="S1078" s="180">
        <v>4.2919999999999998</v>
      </c>
    </row>
    <row r="1079" spans="2:19">
      <c r="B1079" s="198">
        <v>45191</v>
      </c>
      <c r="C1079" s="178">
        <v>88627.6</v>
      </c>
      <c r="D1079">
        <f t="shared" si="33"/>
        <v>5.0325671895135038E-4</v>
      </c>
      <c r="E1079" s="179">
        <v>30.6</v>
      </c>
      <c r="F1079">
        <f t="shared" si="34"/>
        <v>7.905138339921125E-3</v>
      </c>
      <c r="H1079" s="179"/>
      <c r="R1079" s="199">
        <v>43188</v>
      </c>
      <c r="S1079" s="180">
        <v>4.2919999999999998</v>
      </c>
    </row>
    <row r="1080" spans="2:19">
      <c r="B1080" s="198">
        <v>45194</v>
      </c>
      <c r="C1080" s="178">
        <v>88742.75</v>
      </c>
      <c r="D1080">
        <f t="shared" si="33"/>
        <v>1.2992566649665527E-3</v>
      </c>
      <c r="E1080" s="179">
        <v>30.63</v>
      </c>
      <c r="F1080">
        <f t="shared" si="34"/>
        <v>9.8039215686274161E-4</v>
      </c>
      <c r="H1080" s="179"/>
      <c r="R1080" s="199">
        <v>43193</v>
      </c>
      <c r="S1080" s="180">
        <v>4.2919999999999998</v>
      </c>
    </row>
    <row r="1081" spans="2:19">
      <c r="B1081" s="198">
        <v>45195</v>
      </c>
      <c r="C1081" s="178">
        <v>88253.39</v>
      </c>
      <c r="D1081">
        <f t="shared" si="33"/>
        <v>-5.5143659622899355E-3</v>
      </c>
      <c r="E1081" s="179">
        <v>30.48</v>
      </c>
      <c r="F1081">
        <f t="shared" si="34"/>
        <v>-4.8971596474044476E-3</v>
      </c>
      <c r="H1081" s="179"/>
      <c r="R1081" s="199">
        <v>43194</v>
      </c>
      <c r="S1081" s="180">
        <v>4.2919999999999998</v>
      </c>
    </row>
    <row r="1082" spans="2:19">
      <c r="B1082" s="198">
        <v>45196</v>
      </c>
      <c r="C1082" s="178">
        <v>88151.78</v>
      </c>
      <c r="D1082">
        <f t="shared" si="33"/>
        <v>-1.151343874722599E-3</v>
      </c>
      <c r="E1082" s="179">
        <v>30.32</v>
      </c>
      <c r="F1082">
        <f t="shared" si="34"/>
        <v>-5.2493438320210251E-3</v>
      </c>
      <c r="H1082" s="179"/>
      <c r="R1082" s="199">
        <v>43195</v>
      </c>
      <c r="S1082" s="180">
        <v>4.2919999999999998</v>
      </c>
    </row>
    <row r="1083" spans="2:19">
      <c r="B1083" s="198">
        <v>45197</v>
      </c>
      <c r="C1083" s="178">
        <v>88072.7</v>
      </c>
      <c r="D1083">
        <f t="shared" si="33"/>
        <v>-8.9708908884200689E-4</v>
      </c>
      <c r="E1083" s="179">
        <v>29.76</v>
      </c>
      <c r="F1083">
        <f t="shared" si="34"/>
        <v>-1.846965699208436E-2</v>
      </c>
      <c r="H1083" s="179"/>
      <c r="R1083" s="199">
        <v>43196</v>
      </c>
      <c r="S1083" s="180">
        <v>4.2919999999999998</v>
      </c>
    </row>
    <row r="1084" spans="2:19">
      <c r="B1084" s="198">
        <v>45198</v>
      </c>
      <c r="C1084" s="178">
        <v>88404.51</v>
      </c>
      <c r="D1084">
        <f t="shared" si="33"/>
        <v>3.7674557496250038E-3</v>
      </c>
      <c r="E1084" s="179">
        <v>29.8</v>
      </c>
      <c r="F1084">
        <f t="shared" si="34"/>
        <v>1.3440860215052641E-3</v>
      </c>
      <c r="H1084" s="179"/>
      <c r="R1084" s="199">
        <v>43199</v>
      </c>
      <c r="S1084" s="180">
        <v>4.2919999999999998</v>
      </c>
    </row>
    <row r="1085" spans="2:19">
      <c r="B1085" s="198">
        <v>45201</v>
      </c>
      <c r="C1085" s="178">
        <v>88231.67</v>
      </c>
      <c r="D1085">
        <f t="shared" si="33"/>
        <v>-1.9551038742253724E-3</v>
      </c>
      <c r="E1085" s="179">
        <v>29.88</v>
      </c>
      <c r="F1085">
        <f t="shared" si="34"/>
        <v>2.6845637583892135E-3</v>
      </c>
      <c r="H1085" s="179"/>
      <c r="R1085" s="199">
        <v>43200</v>
      </c>
      <c r="S1085" s="180">
        <v>4.2919999999999998</v>
      </c>
    </row>
    <row r="1086" spans="2:19">
      <c r="B1086" s="198">
        <v>45202</v>
      </c>
      <c r="C1086" s="178">
        <v>87081.03</v>
      </c>
      <c r="D1086">
        <f t="shared" si="33"/>
        <v>-1.3041122309030317E-2</v>
      </c>
      <c r="E1086" s="179">
        <v>29.19</v>
      </c>
      <c r="F1086">
        <f t="shared" si="34"/>
        <v>-2.3092369477911601E-2</v>
      </c>
      <c r="H1086" s="179"/>
      <c r="R1086" s="199">
        <v>43201</v>
      </c>
      <c r="S1086" s="180">
        <v>4.2919999999999998</v>
      </c>
    </row>
    <row r="1087" spans="2:19">
      <c r="B1087" s="198">
        <v>45203</v>
      </c>
      <c r="C1087" s="178">
        <v>86364.83</v>
      </c>
      <c r="D1087">
        <f t="shared" si="33"/>
        <v>-8.2245237567813989E-3</v>
      </c>
      <c r="E1087" s="179">
        <v>29.09</v>
      </c>
      <c r="F1087">
        <f t="shared" si="34"/>
        <v>-3.4258307639603025E-3</v>
      </c>
      <c r="H1087" s="179"/>
      <c r="R1087" s="199">
        <v>43202</v>
      </c>
      <c r="S1087" s="180">
        <v>4.2919999999999998</v>
      </c>
    </row>
    <row r="1088" spans="2:19">
      <c r="B1088" s="198">
        <v>45204</v>
      </c>
      <c r="C1088" s="178">
        <v>86796.56</v>
      </c>
      <c r="D1088">
        <f t="shared" si="33"/>
        <v>4.9989098571721069E-3</v>
      </c>
      <c r="E1088" s="179">
        <v>29.53</v>
      </c>
      <c r="F1088">
        <f t="shared" si="34"/>
        <v>1.5125472671021045E-2</v>
      </c>
      <c r="H1088" s="179"/>
      <c r="R1088" s="199">
        <v>43203</v>
      </c>
      <c r="S1088" s="180">
        <v>4.2919999999999998</v>
      </c>
    </row>
    <row r="1089" spans="2:19">
      <c r="B1089" s="198">
        <v>45205</v>
      </c>
      <c r="C1089" s="178">
        <v>87107.55</v>
      </c>
      <c r="D1089">
        <f t="shared" si="33"/>
        <v>3.582976099513635E-3</v>
      </c>
      <c r="E1089" s="179">
        <v>29.44</v>
      </c>
      <c r="F1089">
        <f t="shared" si="34"/>
        <v>-3.0477480528275924E-3</v>
      </c>
      <c r="H1089" s="179"/>
      <c r="R1089" s="199">
        <v>43206</v>
      </c>
      <c r="S1089" s="180">
        <v>4.2919999999999998</v>
      </c>
    </row>
    <row r="1090" spans="2:19">
      <c r="B1090" s="198">
        <v>45208</v>
      </c>
      <c r="C1090" s="178">
        <v>87278.32</v>
      </c>
      <c r="D1090">
        <f t="shared" si="33"/>
        <v>1.9604500413570314E-3</v>
      </c>
      <c r="E1090" s="179">
        <v>29.63</v>
      </c>
      <c r="F1090">
        <f t="shared" si="34"/>
        <v>6.4538043478259421E-3</v>
      </c>
      <c r="H1090" s="179"/>
      <c r="R1090" s="199">
        <v>43207</v>
      </c>
      <c r="S1090" s="180">
        <v>4.2919999999999998</v>
      </c>
    </row>
    <row r="1091" spans="2:19">
      <c r="B1091" s="198">
        <v>45209</v>
      </c>
      <c r="C1091" s="178">
        <v>88184.13</v>
      </c>
      <c r="D1091">
        <f t="shared" si="33"/>
        <v>1.0378407833697922E-2</v>
      </c>
      <c r="E1091" s="179">
        <v>29.92</v>
      </c>
      <c r="F1091">
        <f t="shared" si="34"/>
        <v>9.7873776577792615E-3</v>
      </c>
      <c r="H1091" s="179"/>
      <c r="R1091" s="199">
        <v>43208</v>
      </c>
      <c r="S1091" s="180">
        <v>4.2919999999999998</v>
      </c>
    </row>
    <row r="1092" spans="2:19">
      <c r="B1092" s="198">
        <v>45210</v>
      </c>
      <c r="C1092" s="178">
        <v>88797.13</v>
      </c>
      <c r="D1092">
        <f t="shared" si="33"/>
        <v>6.9513641513501145E-3</v>
      </c>
      <c r="E1092" s="179">
        <v>30.17</v>
      </c>
      <c r="F1092">
        <f t="shared" si="34"/>
        <v>8.3556149732619822E-3</v>
      </c>
      <c r="H1092" s="179"/>
      <c r="R1092" s="199">
        <v>43209</v>
      </c>
      <c r="S1092" s="180">
        <v>4.2919999999999998</v>
      </c>
    </row>
    <row r="1093" spans="2:19">
      <c r="B1093" s="198">
        <v>45211</v>
      </c>
      <c r="C1093" s="178">
        <v>88872.73</v>
      </c>
      <c r="D1093">
        <f t="shared" si="33"/>
        <v>8.513788677628753E-4</v>
      </c>
      <c r="E1093" s="179">
        <v>30.11</v>
      </c>
      <c r="F1093">
        <f t="shared" si="34"/>
        <v>-1.9887305270136491E-3</v>
      </c>
      <c r="H1093" s="179"/>
      <c r="R1093" s="199">
        <v>43210</v>
      </c>
      <c r="S1093" s="180">
        <v>4.2919999999999998</v>
      </c>
    </row>
    <row r="1094" spans="2:19">
      <c r="B1094" s="198">
        <v>45212</v>
      </c>
      <c r="C1094" s="178">
        <v>88344.11</v>
      </c>
      <c r="D1094">
        <f t="shared" si="33"/>
        <v>-5.9480562822813443E-3</v>
      </c>
      <c r="E1094" s="179">
        <v>30.14</v>
      </c>
      <c r="F1094">
        <f t="shared" si="34"/>
        <v>9.9634672866155682E-4</v>
      </c>
      <c r="H1094" s="179"/>
      <c r="R1094" s="199">
        <v>43213</v>
      </c>
      <c r="S1094" s="180">
        <v>4.2919999999999998</v>
      </c>
    </row>
    <row r="1095" spans="2:19">
      <c r="B1095" s="198">
        <v>45215</v>
      </c>
      <c r="C1095" s="178">
        <v>87991.22</v>
      </c>
      <c r="D1095">
        <f t="shared" si="33"/>
        <v>-3.9944938038314337E-3</v>
      </c>
      <c r="E1095" s="179">
        <v>30.13</v>
      </c>
      <c r="F1095">
        <f t="shared" si="34"/>
        <v>-3.3178500331787486E-4</v>
      </c>
      <c r="H1095" s="179"/>
      <c r="R1095" s="199">
        <v>43214</v>
      </c>
      <c r="S1095" s="180">
        <v>4.2919999999999998</v>
      </c>
    </row>
    <row r="1096" spans="2:19">
      <c r="B1096" s="198">
        <v>45216</v>
      </c>
      <c r="C1096" s="178">
        <v>88355.51</v>
      </c>
      <c r="D1096">
        <f t="shared" ref="D1096:D1159" si="35">(C1096/C1095)-1</f>
        <v>4.1400721571991372E-3</v>
      </c>
      <c r="E1096" s="179">
        <v>29.69</v>
      </c>
      <c r="F1096">
        <f t="shared" ref="F1096:F1159" si="36">(E1096/E1095)-1</f>
        <v>-1.460338533023553E-2</v>
      </c>
      <c r="H1096" s="179"/>
      <c r="R1096" s="199">
        <v>43216</v>
      </c>
      <c r="S1096" s="180">
        <v>4.2919999999999998</v>
      </c>
    </row>
    <row r="1097" spans="2:19">
      <c r="B1097" s="198">
        <v>45217</v>
      </c>
      <c r="C1097" s="178">
        <v>88616.28</v>
      </c>
      <c r="D1097">
        <f t="shared" si="35"/>
        <v>2.9513722460545733E-3</v>
      </c>
      <c r="E1097" s="179">
        <v>29.73</v>
      </c>
      <c r="F1097">
        <f t="shared" si="36"/>
        <v>1.347254968002698E-3</v>
      </c>
      <c r="H1097" s="179"/>
      <c r="R1097" s="199">
        <v>43217</v>
      </c>
      <c r="S1097" s="180">
        <v>4.2919999999999998</v>
      </c>
    </row>
    <row r="1098" spans="2:19">
      <c r="B1098" s="198">
        <v>45218</v>
      </c>
      <c r="C1098" s="178">
        <v>87481.27</v>
      </c>
      <c r="D1098">
        <f t="shared" si="35"/>
        <v>-1.2808143153831275E-2</v>
      </c>
      <c r="E1098" s="179">
        <v>29.62</v>
      </c>
      <c r="F1098">
        <f t="shared" si="36"/>
        <v>-3.6999663639420977E-3</v>
      </c>
      <c r="H1098" s="179"/>
      <c r="R1098" s="199">
        <v>43220</v>
      </c>
      <c r="S1098" s="180">
        <v>4.2919999999999998</v>
      </c>
    </row>
    <row r="1099" spans="2:19">
      <c r="B1099" s="198">
        <v>45219</v>
      </c>
      <c r="C1099" s="178">
        <v>86469.02</v>
      </c>
      <c r="D1099">
        <f t="shared" si="35"/>
        <v>-1.1571048294109154E-2</v>
      </c>
      <c r="E1099" s="179">
        <v>29.27</v>
      </c>
      <c r="F1099">
        <f t="shared" si="36"/>
        <v>-1.181634031060097E-2</v>
      </c>
      <c r="H1099" s="179"/>
      <c r="R1099" s="199">
        <v>43221</v>
      </c>
      <c r="S1099" s="180">
        <v>4.2919999999999998</v>
      </c>
    </row>
    <row r="1100" spans="2:19">
      <c r="B1100" s="198">
        <v>45222</v>
      </c>
      <c r="C1100" s="178">
        <v>85750.17</v>
      </c>
      <c r="D1100">
        <f t="shared" si="35"/>
        <v>-8.3133820644666345E-3</v>
      </c>
      <c r="E1100" s="179">
        <v>29.52</v>
      </c>
      <c r="F1100">
        <f t="shared" si="36"/>
        <v>8.5411684318414949E-3</v>
      </c>
      <c r="H1100" s="179"/>
      <c r="R1100" s="199">
        <v>43222</v>
      </c>
      <c r="S1100" s="180">
        <v>4.2919999999999998</v>
      </c>
    </row>
    <row r="1101" spans="2:19">
      <c r="B1101" s="198">
        <v>45223</v>
      </c>
      <c r="C1101" s="178">
        <v>85941.15</v>
      </c>
      <c r="D1101">
        <f t="shared" si="35"/>
        <v>2.2271675962857174E-3</v>
      </c>
      <c r="E1101" s="179">
        <v>29.02</v>
      </c>
      <c r="F1101">
        <f t="shared" si="36"/>
        <v>-1.693766937669372E-2</v>
      </c>
      <c r="H1101" s="179"/>
      <c r="R1101" s="199">
        <v>43223</v>
      </c>
      <c r="S1101" s="180">
        <v>4.2919999999999998</v>
      </c>
    </row>
    <row r="1102" spans="2:19">
      <c r="B1102" s="198">
        <v>45224</v>
      </c>
      <c r="C1102" s="178">
        <v>85953.06</v>
      </c>
      <c r="D1102">
        <f t="shared" si="35"/>
        <v>1.3858320490256482E-4</v>
      </c>
      <c r="E1102" s="179">
        <v>28.77</v>
      </c>
      <c r="F1102">
        <f t="shared" si="36"/>
        <v>-8.6147484493452886E-3</v>
      </c>
      <c r="H1102" s="179"/>
      <c r="R1102" s="199">
        <v>43224</v>
      </c>
      <c r="S1102" s="180">
        <v>4.2919999999999998</v>
      </c>
    </row>
    <row r="1103" spans="2:19">
      <c r="B1103" s="198">
        <v>45225</v>
      </c>
      <c r="C1103" s="178">
        <v>85407.27</v>
      </c>
      <c r="D1103">
        <f t="shared" si="35"/>
        <v>-6.349861191678241E-3</v>
      </c>
      <c r="E1103" s="179">
        <v>28.68</v>
      </c>
      <c r="F1103">
        <f t="shared" si="36"/>
        <v>-3.1282586027111536E-3</v>
      </c>
      <c r="H1103" s="179"/>
      <c r="R1103" s="199">
        <v>43227</v>
      </c>
      <c r="S1103" s="180">
        <v>4.2919999999999998</v>
      </c>
    </row>
    <row r="1104" spans="2:19">
      <c r="B1104" s="198">
        <v>45226</v>
      </c>
      <c r="C1104" s="178">
        <v>85566.55</v>
      </c>
      <c r="D1104">
        <f t="shared" si="35"/>
        <v>1.8649466257381064E-3</v>
      </c>
      <c r="E1104" s="179">
        <v>28.84</v>
      </c>
      <c r="F1104">
        <f t="shared" si="36"/>
        <v>5.5788005578800703E-3</v>
      </c>
      <c r="H1104" s="179"/>
      <c r="R1104" s="199">
        <v>43228</v>
      </c>
      <c r="S1104" s="180">
        <v>4.2919999999999998</v>
      </c>
    </row>
    <row r="1105" spans="2:19">
      <c r="B1105" s="198">
        <v>45229</v>
      </c>
      <c r="C1105" s="178">
        <v>84908.22</v>
      </c>
      <c r="D1105">
        <f t="shared" si="35"/>
        <v>-7.6937775333936198E-3</v>
      </c>
      <c r="E1105" s="179">
        <v>28.69</v>
      </c>
      <c r="F1105">
        <f t="shared" si="36"/>
        <v>-5.2011095700416066E-3</v>
      </c>
      <c r="H1105" s="179"/>
      <c r="R1105" s="199">
        <v>43229</v>
      </c>
      <c r="S1105" s="180">
        <v>4.2919999999999998</v>
      </c>
    </row>
    <row r="1106" spans="2:19">
      <c r="B1106" s="198">
        <v>45230</v>
      </c>
      <c r="C1106" s="178">
        <v>85000.09</v>
      </c>
      <c r="D1106">
        <f t="shared" si="35"/>
        <v>1.0819918259974415E-3</v>
      </c>
      <c r="E1106" s="179">
        <v>28.75</v>
      </c>
      <c r="F1106">
        <f t="shared" si="36"/>
        <v>2.0913210177762043E-3</v>
      </c>
      <c r="H1106" s="179"/>
      <c r="R1106" s="199">
        <v>43230</v>
      </c>
      <c r="S1106" s="180">
        <v>4.2919999999999998</v>
      </c>
    </row>
    <row r="1107" spans="2:19">
      <c r="B1107" s="198">
        <v>45231</v>
      </c>
      <c r="C1107" s="178">
        <v>85697.63</v>
      </c>
      <c r="D1107">
        <f t="shared" si="35"/>
        <v>8.2063442521060903E-3</v>
      </c>
      <c r="E1107" s="179">
        <v>29.03</v>
      </c>
      <c r="F1107">
        <f t="shared" si="36"/>
        <v>9.7391304347826946E-3</v>
      </c>
      <c r="H1107" s="179"/>
      <c r="R1107" s="199">
        <v>43231</v>
      </c>
      <c r="S1107" s="180">
        <v>4.2919999999999998</v>
      </c>
    </row>
    <row r="1108" spans="2:19">
      <c r="B1108" s="198">
        <v>45232</v>
      </c>
      <c r="C1108" s="178">
        <v>86556.28</v>
      </c>
      <c r="D1108">
        <f t="shared" si="35"/>
        <v>1.0019530295061863E-2</v>
      </c>
      <c r="E1108" s="179">
        <v>29.2</v>
      </c>
      <c r="F1108">
        <f t="shared" si="36"/>
        <v>5.8560110230794216E-3</v>
      </c>
      <c r="H1108" s="179"/>
      <c r="R1108" s="199">
        <v>43234</v>
      </c>
      <c r="S1108" s="180">
        <v>4.2919999999999998</v>
      </c>
    </row>
    <row r="1109" spans="2:19">
      <c r="B1109" s="198">
        <v>45233</v>
      </c>
      <c r="C1109" s="178">
        <v>87532.99</v>
      </c>
      <c r="D1109">
        <f t="shared" si="35"/>
        <v>1.1284103244732835E-2</v>
      </c>
      <c r="E1109" s="179">
        <v>29.52</v>
      </c>
      <c r="F1109">
        <f t="shared" si="36"/>
        <v>1.0958904109588996E-2</v>
      </c>
      <c r="H1109" s="179"/>
      <c r="R1109" s="199">
        <v>43235</v>
      </c>
      <c r="S1109" s="180">
        <v>4.2919999999999998</v>
      </c>
    </row>
    <row r="1110" spans="2:19">
      <c r="B1110" s="198">
        <v>45236</v>
      </c>
      <c r="C1110" s="178">
        <v>87745.91</v>
      </c>
      <c r="D1110">
        <f t="shared" si="35"/>
        <v>2.4324543237925766E-3</v>
      </c>
      <c r="E1110" s="179">
        <v>29.7</v>
      </c>
      <c r="F1110">
        <f t="shared" si="36"/>
        <v>6.0975609756097615E-3</v>
      </c>
      <c r="H1110" s="179"/>
      <c r="R1110" s="199">
        <v>43236</v>
      </c>
      <c r="S1110" s="180">
        <v>4.2919999999999998</v>
      </c>
    </row>
    <row r="1111" spans="2:19">
      <c r="B1111" s="198">
        <v>45237</v>
      </c>
      <c r="C1111" s="178">
        <v>87556.7</v>
      </c>
      <c r="D1111">
        <f t="shared" si="35"/>
        <v>-2.1563398225626917E-3</v>
      </c>
      <c r="E1111" s="179">
        <v>29.81</v>
      </c>
      <c r="F1111">
        <f t="shared" si="36"/>
        <v>3.7037037037037646E-3</v>
      </c>
      <c r="H1111" s="179"/>
      <c r="R1111" s="199">
        <v>43237</v>
      </c>
      <c r="S1111" s="180">
        <v>4.2919999999999998</v>
      </c>
    </row>
    <row r="1112" spans="2:19">
      <c r="B1112" s="198">
        <v>45238</v>
      </c>
      <c r="C1112" s="178">
        <v>87823.4</v>
      </c>
      <c r="D1112">
        <f t="shared" si="35"/>
        <v>3.0460261750384632E-3</v>
      </c>
      <c r="E1112" s="179">
        <v>30.32</v>
      </c>
      <c r="F1112">
        <f t="shared" si="36"/>
        <v>1.7108352901710866E-2</v>
      </c>
      <c r="H1112" s="179"/>
      <c r="R1112" s="199">
        <v>43238</v>
      </c>
      <c r="S1112" s="180">
        <v>4.2919999999999998</v>
      </c>
    </row>
    <row r="1113" spans="2:19">
      <c r="B1113" s="198">
        <v>45239</v>
      </c>
      <c r="C1113" s="178">
        <v>88120.88</v>
      </c>
      <c r="D1113">
        <f t="shared" si="35"/>
        <v>3.3872521446449699E-3</v>
      </c>
      <c r="E1113" s="179">
        <v>30.39</v>
      </c>
      <c r="F1113">
        <f t="shared" si="36"/>
        <v>2.308707124010656E-3</v>
      </c>
      <c r="H1113" s="179"/>
      <c r="R1113" s="199">
        <v>43241</v>
      </c>
      <c r="S1113" s="180">
        <v>4.2919999999999998</v>
      </c>
    </row>
    <row r="1114" spans="2:19">
      <c r="B1114" s="198">
        <v>45240</v>
      </c>
      <c r="C1114" s="178">
        <v>87650.94</v>
      </c>
      <c r="D1114">
        <f t="shared" si="35"/>
        <v>-5.3329018048844379E-3</v>
      </c>
      <c r="E1114" s="179">
        <v>30.44</v>
      </c>
      <c r="F1114">
        <f t="shared" si="36"/>
        <v>1.6452780519908838E-3</v>
      </c>
      <c r="H1114" s="179"/>
      <c r="R1114" s="199">
        <v>43242</v>
      </c>
      <c r="S1114" s="180">
        <v>4.2919999999999998</v>
      </c>
    </row>
    <row r="1115" spans="2:19">
      <c r="B1115" s="198">
        <v>45243</v>
      </c>
      <c r="C1115" s="178">
        <v>87301.9</v>
      </c>
      <c r="D1115">
        <f t="shared" si="35"/>
        <v>-3.982159232975846E-3</v>
      </c>
      <c r="E1115" s="179">
        <v>30.11</v>
      </c>
      <c r="F1115">
        <f t="shared" si="36"/>
        <v>-1.0840998685939573E-2</v>
      </c>
      <c r="H1115" s="179"/>
      <c r="R1115" s="199">
        <v>43243</v>
      </c>
      <c r="S1115" s="180">
        <v>4.2919999999999998</v>
      </c>
    </row>
    <row r="1116" spans="2:19">
      <c r="B1116" s="198">
        <v>45244</v>
      </c>
      <c r="C1116" s="178">
        <v>88158.41</v>
      </c>
      <c r="D1116">
        <f t="shared" si="35"/>
        <v>9.8108975864215076E-3</v>
      </c>
      <c r="E1116" s="179">
        <v>29.96</v>
      </c>
      <c r="F1116">
        <f t="shared" si="36"/>
        <v>-4.9817336433077841E-3</v>
      </c>
      <c r="H1116" s="179"/>
      <c r="R1116" s="199">
        <v>43244</v>
      </c>
      <c r="S1116" s="180">
        <v>4.2919999999999998</v>
      </c>
    </row>
    <row r="1117" spans="2:19">
      <c r="B1117" s="198">
        <v>45245</v>
      </c>
      <c r="C1117" s="178">
        <v>89499.67</v>
      </c>
      <c r="D1117">
        <f t="shared" si="35"/>
        <v>1.5214203613699517E-2</v>
      </c>
      <c r="E1117" s="179">
        <v>30.5</v>
      </c>
      <c r="F1117">
        <f t="shared" si="36"/>
        <v>1.8024032042723626E-2</v>
      </c>
      <c r="H1117" s="179"/>
      <c r="R1117" s="199">
        <v>43245</v>
      </c>
      <c r="S1117" s="180">
        <v>4.2919999999999998</v>
      </c>
    </row>
    <row r="1118" spans="2:19">
      <c r="B1118" s="198">
        <v>45246</v>
      </c>
      <c r="C1118" s="178">
        <v>89030.48</v>
      </c>
      <c r="D1118">
        <f t="shared" si="35"/>
        <v>-5.242365698108209E-3</v>
      </c>
      <c r="E1118" s="179">
        <v>29.23</v>
      </c>
      <c r="F1118">
        <f t="shared" si="36"/>
        <v>-4.1639344262295097E-2</v>
      </c>
      <c r="H1118" s="179"/>
      <c r="R1118" s="199">
        <v>43248</v>
      </c>
      <c r="S1118" s="180">
        <v>4.2919999999999998</v>
      </c>
    </row>
    <row r="1119" spans="2:19">
      <c r="B1119" s="198">
        <v>45247</v>
      </c>
      <c r="C1119" s="178">
        <v>88933.18</v>
      </c>
      <c r="D1119">
        <f t="shared" si="35"/>
        <v>-1.0928841448457627E-3</v>
      </c>
      <c r="E1119" s="179">
        <v>29.48</v>
      </c>
      <c r="F1119">
        <f t="shared" si="36"/>
        <v>8.5528566541224205E-3</v>
      </c>
      <c r="H1119" s="179"/>
      <c r="R1119" s="199">
        <v>43249</v>
      </c>
      <c r="S1119" s="180">
        <v>4.2919999999999998</v>
      </c>
    </row>
    <row r="1120" spans="2:19">
      <c r="B1120" s="198">
        <v>45250</v>
      </c>
      <c r="C1120" s="178">
        <v>89028.5</v>
      </c>
      <c r="D1120">
        <f t="shared" si="35"/>
        <v>1.071815940912213E-3</v>
      </c>
      <c r="E1120" s="179">
        <v>29.13</v>
      </c>
      <c r="F1120">
        <f t="shared" si="36"/>
        <v>-1.1872455902306678E-2</v>
      </c>
      <c r="H1120" s="179"/>
      <c r="R1120" s="199">
        <v>43250</v>
      </c>
      <c r="S1120" s="180">
        <v>4.2919999999999998</v>
      </c>
    </row>
    <row r="1121" spans="2:19">
      <c r="B1121" s="198">
        <v>45251</v>
      </c>
      <c r="C1121" s="178">
        <v>89285.43</v>
      </c>
      <c r="D1121">
        <f t="shared" si="35"/>
        <v>2.8859297865289069E-3</v>
      </c>
      <c r="E1121" s="179">
        <v>29.23</v>
      </c>
      <c r="F1121">
        <f t="shared" si="36"/>
        <v>3.43288705801581E-3</v>
      </c>
      <c r="H1121" s="179"/>
      <c r="R1121" s="199">
        <v>43251</v>
      </c>
      <c r="S1121" s="180">
        <v>4.2919999999999998</v>
      </c>
    </row>
    <row r="1122" spans="2:19">
      <c r="B1122" s="198">
        <v>45252</v>
      </c>
      <c r="C1122" s="178">
        <v>89145.88</v>
      </c>
      <c r="D1122">
        <f t="shared" si="35"/>
        <v>-1.5629649764803411E-3</v>
      </c>
      <c r="E1122" s="179">
        <v>28.9</v>
      </c>
      <c r="F1122">
        <f t="shared" si="36"/>
        <v>-1.1289770783441733E-2</v>
      </c>
      <c r="H1122" s="179"/>
      <c r="R1122" s="199">
        <v>43252</v>
      </c>
      <c r="S1122" s="180">
        <v>4.2919999999999998</v>
      </c>
    </row>
    <row r="1123" spans="2:19">
      <c r="B1123" s="198">
        <v>45253</v>
      </c>
      <c r="C1123" s="178">
        <v>88615.43</v>
      </c>
      <c r="D1123">
        <f t="shared" si="35"/>
        <v>-5.9503591192325844E-3</v>
      </c>
      <c r="E1123" s="179">
        <v>28.79</v>
      </c>
      <c r="F1123">
        <f t="shared" si="36"/>
        <v>-3.8062283737023694E-3</v>
      </c>
      <c r="H1123" s="179"/>
      <c r="R1123" s="199">
        <v>43255</v>
      </c>
      <c r="S1123" s="180">
        <v>4.2919999999999998</v>
      </c>
    </row>
    <row r="1124" spans="2:19">
      <c r="B1124" s="198">
        <v>45254</v>
      </c>
      <c r="C1124" s="178">
        <v>88737.54</v>
      </c>
      <c r="D1124">
        <f t="shared" si="35"/>
        <v>1.377976724820984E-3</v>
      </c>
      <c r="E1124" s="179">
        <v>28.56</v>
      </c>
      <c r="F1124">
        <f t="shared" si="36"/>
        <v>-7.9888850295241065E-3</v>
      </c>
      <c r="H1124" s="179"/>
      <c r="R1124" s="199">
        <v>43256</v>
      </c>
      <c r="S1124" s="180">
        <v>4.2919999999999998</v>
      </c>
    </row>
    <row r="1125" spans="2:19">
      <c r="B1125" s="198">
        <v>45257</v>
      </c>
      <c r="C1125" s="178">
        <v>88109.21</v>
      </c>
      <c r="D1125">
        <f t="shared" si="35"/>
        <v>-7.0807687479277348E-3</v>
      </c>
      <c r="E1125" s="179">
        <v>28.78</v>
      </c>
      <c r="F1125">
        <f t="shared" si="36"/>
        <v>7.7030812324931919E-3</v>
      </c>
      <c r="H1125" s="179"/>
      <c r="R1125" s="199">
        <v>43257</v>
      </c>
      <c r="S1125" s="180">
        <v>4.2919999999999998</v>
      </c>
    </row>
    <row r="1126" spans="2:19">
      <c r="B1126" s="198">
        <v>45258</v>
      </c>
      <c r="C1126" s="178">
        <v>88479.73</v>
      </c>
      <c r="D1126">
        <f t="shared" si="35"/>
        <v>4.2052357523123529E-3</v>
      </c>
      <c r="E1126" s="179">
        <v>29.06</v>
      </c>
      <c r="F1126">
        <f t="shared" si="36"/>
        <v>9.7289784572618387E-3</v>
      </c>
      <c r="H1126" s="179"/>
      <c r="R1126" s="199">
        <v>43258</v>
      </c>
      <c r="S1126" s="180">
        <v>4.2919999999999998</v>
      </c>
    </row>
    <row r="1127" spans="2:19">
      <c r="B1127" s="198">
        <v>45259</v>
      </c>
      <c r="C1127" s="178">
        <v>88769.71</v>
      </c>
      <c r="D1127">
        <f t="shared" si="35"/>
        <v>3.2773608147314004E-3</v>
      </c>
      <c r="E1127" s="179">
        <v>28.91</v>
      </c>
      <c r="F1127">
        <f t="shared" si="36"/>
        <v>-5.1617343427391438E-3</v>
      </c>
      <c r="H1127" s="179"/>
      <c r="R1127" s="199">
        <v>43259</v>
      </c>
      <c r="S1127" s="180">
        <v>4.2919999999999998</v>
      </c>
    </row>
    <row r="1128" spans="2:19">
      <c r="B1128" s="198">
        <v>45260</v>
      </c>
      <c r="C1128" s="178">
        <v>89415.56</v>
      </c>
      <c r="D1128">
        <f t="shared" si="35"/>
        <v>7.275567307812425E-3</v>
      </c>
      <c r="E1128" s="179">
        <v>29.17</v>
      </c>
      <c r="F1128">
        <f t="shared" si="36"/>
        <v>8.9934278796264255E-3</v>
      </c>
      <c r="H1128" s="179"/>
      <c r="R1128" s="199">
        <v>43263</v>
      </c>
      <c r="S1128" s="180">
        <v>4.2919999999999998</v>
      </c>
    </row>
    <row r="1129" spans="2:19">
      <c r="B1129" s="198">
        <v>45261</v>
      </c>
      <c r="C1129" s="178">
        <v>89261.36</v>
      </c>
      <c r="D1129">
        <f t="shared" si="35"/>
        <v>-1.724532061310069E-3</v>
      </c>
      <c r="E1129" s="179">
        <v>29.12</v>
      </c>
      <c r="F1129">
        <f t="shared" si="36"/>
        <v>-1.7140898183064524E-3</v>
      </c>
      <c r="H1129" s="179"/>
      <c r="R1129" s="199">
        <v>43264</v>
      </c>
      <c r="S1129" s="180">
        <v>4.2919999999999998</v>
      </c>
    </row>
    <row r="1130" spans="2:19">
      <c r="B1130" s="198">
        <v>45264</v>
      </c>
      <c r="C1130" s="178">
        <v>89889.74</v>
      </c>
      <c r="D1130">
        <f t="shared" si="35"/>
        <v>7.0397762256815266E-3</v>
      </c>
      <c r="E1130" s="179">
        <v>28.91</v>
      </c>
      <c r="F1130">
        <f t="shared" si="36"/>
        <v>-7.2115384615384359E-3</v>
      </c>
      <c r="H1130" s="179"/>
      <c r="R1130" s="199">
        <v>43265</v>
      </c>
      <c r="S1130" s="180">
        <v>4.2919999999999998</v>
      </c>
    </row>
    <row r="1131" spans="2:19">
      <c r="B1131" s="198">
        <v>45265</v>
      </c>
      <c r="C1131" s="178">
        <v>89079.89</v>
      </c>
      <c r="D1131">
        <f t="shared" si="35"/>
        <v>-9.009370813621298E-3</v>
      </c>
      <c r="E1131" s="179">
        <v>29.37</v>
      </c>
      <c r="F1131">
        <f t="shared" si="36"/>
        <v>1.5911449325493043E-2</v>
      </c>
      <c r="H1131" s="179"/>
      <c r="R1131" s="199">
        <v>43266</v>
      </c>
      <c r="S1131" s="180">
        <v>4.2919999999999998</v>
      </c>
    </row>
    <row r="1132" spans="2:19">
      <c r="B1132" s="198">
        <v>45266</v>
      </c>
      <c r="C1132" s="178">
        <v>90512.1</v>
      </c>
      <c r="D1132">
        <f t="shared" si="35"/>
        <v>1.6077815093844539E-2</v>
      </c>
      <c r="E1132" s="179">
        <v>30.12</v>
      </c>
      <c r="F1132">
        <f t="shared" si="36"/>
        <v>2.5536261491317713E-2</v>
      </c>
      <c r="H1132" s="179"/>
      <c r="R1132" s="199">
        <v>43269</v>
      </c>
      <c r="S1132" s="180">
        <v>4.2919999999999998</v>
      </c>
    </row>
    <row r="1133" spans="2:19">
      <c r="B1133" s="198">
        <v>45267</v>
      </c>
      <c r="C1133" s="178">
        <v>90488.08</v>
      </c>
      <c r="D1133">
        <f t="shared" si="35"/>
        <v>-2.6537888304445367E-4</v>
      </c>
      <c r="E1133" s="179">
        <v>30.27</v>
      </c>
      <c r="F1133">
        <f t="shared" si="36"/>
        <v>4.980079681274896E-3</v>
      </c>
      <c r="H1133" s="179"/>
      <c r="R1133" s="199">
        <v>43270</v>
      </c>
      <c r="S1133" s="180">
        <v>4.2919999999999998</v>
      </c>
    </row>
    <row r="1134" spans="2:19">
      <c r="B1134" s="198">
        <v>45268</v>
      </c>
      <c r="C1134" s="178">
        <v>90743.8</v>
      </c>
      <c r="D1134">
        <f t="shared" si="35"/>
        <v>2.8260075802248874E-3</v>
      </c>
      <c r="E1134" s="179">
        <v>31.1</v>
      </c>
      <c r="F1134">
        <f t="shared" si="36"/>
        <v>2.7419887677568644E-2</v>
      </c>
      <c r="H1134" s="179"/>
      <c r="R1134" s="199">
        <v>43271</v>
      </c>
      <c r="S1134" s="180">
        <v>4.2919999999999998</v>
      </c>
    </row>
    <row r="1135" spans="2:19">
      <c r="B1135" s="198">
        <v>45271</v>
      </c>
      <c r="C1135" s="178">
        <v>90799.95</v>
      </c>
      <c r="D1135">
        <f t="shared" si="35"/>
        <v>6.1877505680829614E-4</v>
      </c>
      <c r="E1135" s="179">
        <v>31.2</v>
      </c>
      <c r="F1135">
        <f t="shared" si="36"/>
        <v>3.215434083601254E-3</v>
      </c>
      <c r="H1135" s="179"/>
      <c r="R1135" s="199">
        <v>43272</v>
      </c>
      <c r="S1135" s="180">
        <v>4.2919999999999998</v>
      </c>
    </row>
    <row r="1136" spans="2:19">
      <c r="B1136" s="198">
        <v>45272</v>
      </c>
      <c r="C1136" s="178">
        <v>91243.44</v>
      </c>
      <c r="D1136">
        <f t="shared" si="35"/>
        <v>4.8842537908886374E-3</v>
      </c>
      <c r="E1136" s="179">
        <v>31.52</v>
      </c>
      <c r="F1136">
        <f t="shared" si="36"/>
        <v>1.025641025641022E-2</v>
      </c>
      <c r="H1136" s="179"/>
      <c r="R1136" s="199">
        <v>43273</v>
      </c>
      <c r="S1136" s="180">
        <v>4.2919999999999998</v>
      </c>
    </row>
    <row r="1137" spans="2:19">
      <c r="B1137" s="198">
        <v>45273</v>
      </c>
      <c r="C1137" s="178">
        <v>91522.51</v>
      </c>
      <c r="D1137">
        <f t="shared" si="35"/>
        <v>3.0585212482123758E-3</v>
      </c>
      <c r="E1137" s="179">
        <v>31.47</v>
      </c>
      <c r="F1137">
        <f t="shared" si="36"/>
        <v>-1.5862944162436943E-3</v>
      </c>
      <c r="H1137" s="179"/>
      <c r="R1137" s="199">
        <v>43276</v>
      </c>
      <c r="S1137" s="180">
        <v>4.2919999999999998</v>
      </c>
    </row>
    <row r="1138" spans="2:19">
      <c r="B1138" s="198">
        <v>45274</v>
      </c>
      <c r="C1138" s="178">
        <v>93122.51</v>
      </c>
      <c r="D1138">
        <f t="shared" si="35"/>
        <v>1.7482038025399493E-2</v>
      </c>
      <c r="E1138" s="179">
        <v>31.7</v>
      </c>
      <c r="F1138">
        <f t="shared" si="36"/>
        <v>7.3085478233239076E-3</v>
      </c>
      <c r="H1138" s="179"/>
      <c r="R1138" s="199">
        <v>43277</v>
      </c>
      <c r="S1138" s="180">
        <v>4.2919999999999998</v>
      </c>
    </row>
    <row r="1139" spans="2:19">
      <c r="B1139" s="198">
        <v>45275</v>
      </c>
      <c r="C1139" s="178">
        <v>93888.99</v>
      </c>
      <c r="D1139">
        <f t="shared" si="35"/>
        <v>8.2308777974307024E-3</v>
      </c>
      <c r="E1139" s="179">
        <v>31.63</v>
      </c>
      <c r="F1139">
        <f t="shared" si="36"/>
        <v>-2.2082018927445102E-3</v>
      </c>
      <c r="H1139" s="179"/>
      <c r="R1139" s="199">
        <v>43278</v>
      </c>
      <c r="S1139" s="180">
        <v>4.2919999999999998</v>
      </c>
    </row>
    <row r="1140" spans="2:19">
      <c r="B1140" s="198">
        <v>45278</v>
      </c>
      <c r="C1140" s="178">
        <v>93737.41</v>
      </c>
      <c r="D1140">
        <f t="shared" si="35"/>
        <v>-1.614459799812562E-3</v>
      </c>
      <c r="E1140" s="179">
        <v>31.33</v>
      </c>
      <c r="F1140">
        <f t="shared" si="36"/>
        <v>-9.4846664558962956E-3</v>
      </c>
      <c r="H1140" s="179"/>
      <c r="R1140" s="199">
        <v>43279</v>
      </c>
      <c r="S1140" s="180">
        <v>4.2919999999999998</v>
      </c>
    </row>
    <row r="1141" spans="2:19">
      <c r="B1141" s="198">
        <v>45279</v>
      </c>
      <c r="C1141" s="178">
        <v>94550.85</v>
      </c>
      <c r="D1141">
        <f t="shared" si="35"/>
        <v>8.6778587119060724E-3</v>
      </c>
      <c r="E1141" s="179">
        <v>31.37</v>
      </c>
      <c r="F1141">
        <f t="shared" si="36"/>
        <v>1.2767315671879942E-3</v>
      </c>
      <c r="H1141" s="179"/>
      <c r="R1141" s="199">
        <v>43280</v>
      </c>
      <c r="S1141" s="180">
        <v>4.2919999999999998</v>
      </c>
    </row>
    <row r="1142" spans="2:19">
      <c r="B1142" s="198">
        <v>45280</v>
      </c>
      <c r="C1142" s="178">
        <v>95140.39</v>
      </c>
      <c r="D1142">
        <f t="shared" si="35"/>
        <v>6.2351634067805417E-3</v>
      </c>
      <c r="E1142" s="179">
        <v>31.58</v>
      </c>
      <c r="F1142">
        <f t="shared" si="36"/>
        <v>6.6942939113803224E-3</v>
      </c>
      <c r="H1142" s="179"/>
      <c r="R1142" s="199">
        <v>43283</v>
      </c>
      <c r="S1142" s="180">
        <v>4.2919999999999998</v>
      </c>
    </row>
    <row r="1143" spans="2:19">
      <c r="B1143" s="198">
        <v>45281</v>
      </c>
      <c r="C1143" s="178">
        <v>94696.85</v>
      </c>
      <c r="D1143">
        <f t="shared" si="35"/>
        <v>-4.6619527206057665E-3</v>
      </c>
      <c r="E1143" s="179">
        <v>31.69</v>
      </c>
      <c r="F1143">
        <f t="shared" si="36"/>
        <v>3.483217226092572E-3</v>
      </c>
      <c r="H1143" s="179"/>
      <c r="R1143" s="199">
        <v>43284</v>
      </c>
      <c r="S1143" s="180">
        <v>4.2919999999999998</v>
      </c>
    </row>
    <row r="1144" spans="2:19">
      <c r="B1144" s="198">
        <v>45282</v>
      </c>
      <c r="C1144" s="178">
        <v>94725.61</v>
      </c>
      <c r="D1144">
        <f t="shared" si="35"/>
        <v>3.0370598388440584E-4</v>
      </c>
      <c r="E1144" s="179">
        <v>31.6</v>
      </c>
      <c r="F1144">
        <f t="shared" si="36"/>
        <v>-2.8400126222782873E-3</v>
      </c>
      <c r="H1144" s="179"/>
      <c r="R1144" s="199">
        <v>43285</v>
      </c>
      <c r="S1144" s="180">
        <v>4.2919999999999998</v>
      </c>
    </row>
    <row r="1145" spans="2:19">
      <c r="B1145" s="198">
        <v>45287</v>
      </c>
      <c r="C1145" s="178">
        <v>95540.63</v>
      </c>
      <c r="D1145">
        <f t="shared" si="35"/>
        <v>8.6040089897547745E-3</v>
      </c>
      <c r="E1145" s="179">
        <v>31.82</v>
      </c>
      <c r="F1145">
        <f t="shared" si="36"/>
        <v>6.9620253164557333E-3</v>
      </c>
      <c r="H1145" s="179"/>
      <c r="R1145" s="199">
        <v>43286</v>
      </c>
      <c r="S1145" s="180">
        <v>4.2919999999999998</v>
      </c>
    </row>
    <row r="1146" spans="2:19">
      <c r="B1146" s="198">
        <v>45288</v>
      </c>
      <c r="C1146" s="178">
        <v>96343.91</v>
      </c>
      <c r="D1146">
        <f t="shared" si="35"/>
        <v>8.4077318728168482E-3</v>
      </c>
      <c r="E1146" s="179">
        <v>32.08</v>
      </c>
      <c r="F1146">
        <f t="shared" si="36"/>
        <v>8.1709616593337309E-3</v>
      </c>
      <c r="H1146" s="179"/>
      <c r="R1146" s="199">
        <v>43287</v>
      </c>
      <c r="S1146" s="180">
        <v>4.2919999999999998</v>
      </c>
    </row>
    <row r="1147" spans="2:19">
      <c r="B1147" s="198">
        <v>45289</v>
      </c>
      <c r="C1147" s="178">
        <v>96066.7</v>
      </c>
      <c r="D1147">
        <f t="shared" si="35"/>
        <v>-2.8772965514893833E-3</v>
      </c>
      <c r="E1147" s="179">
        <v>32.08</v>
      </c>
      <c r="F1147">
        <f t="shared" si="36"/>
        <v>0</v>
      </c>
      <c r="H1147" s="179"/>
      <c r="R1147" s="199">
        <v>43290</v>
      </c>
      <c r="S1147" s="180">
        <v>4.2919999999999998</v>
      </c>
    </row>
    <row r="1148" spans="2:19">
      <c r="B1148" s="198">
        <v>45293</v>
      </c>
      <c r="C1148" s="178">
        <v>96531.82</v>
      </c>
      <c r="D1148">
        <f t="shared" si="35"/>
        <v>4.8416360716045936E-3</v>
      </c>
      <c r="E1148" s="179">
        <v>32.21</v>
      </c>
      <c r="F1148">
        <f t="shared" si="36"/>
        <v>4.0523690773068832E-3</v>
      </c>
      <c r="H1148" s="179"/>
      <c r="R1148" s="199">
        <v>43291</v>
      </c>
      <c r="S1148" s="180">
        <v>4.2919999999999998</v>
      </c>
    </row>
    <row r="1149" spans="2:19">
      <c r="B1149" s="198">
        <v>45294</v>
      </c>
      <c r="C1149" s="178">
        <v>95181.54</v>
      </c>
      <c r="D1149">
        <f t="shared" si="35"/>
        <v>-1.3987926468184364E-2</v>
      </c>
      <c r="E1149" s="179">
        <v>31.89</v>
      </c>
      <c r="F1149">
        <f t="shared" si="36"/>
        <v>-9.9348028562558088E-3</v>
      </c>
      <c r="H1149" s="179"/>
      <c r="R1149" s="199">
        <v>43292</v>
      </c>
      <c r="S1149" s="180">
        <v>4.2919999999999998</v>
      </c>
    </row>
    <row r="1150" spans="2:19">
      <c r="B1150" s="198">
        <v>45295</v>
      </c>
      <c r="C1150" s="178">
        <v>94853.82</v>
      </c>
      <c r="D1150">
        <f t="shared" si="35"/>
        <v>-3.4431046188156955E-3</v>
      </c>
      <c r="E1150" s="179">
        <v>31.51</v>
      </c>
      <c r="F1150">
        <f t="shared" si="36"/>
        <v>-1.1915961116337415E-2</v>
      </c>
      <c r="H1150" s="179"/>
      <c r="R1150" s="199">
        <v>43293</v>
      </c>
      <c r="S1150" s="180">
        <v>4.2919999999999998</v>
      </c>
    </row>
    <row r="1151" spans="2:19">
      <c r="B1151" s="198">
        <v>45296</v>
      </c>
      <c r="C1151" s="178">
        <v>94703.93</v>
      </c>
      <c r="D1151">
        <f t="shared" si="35"/>
        <v>-1.5802210179833853E-3</v>
      </c>
      <c r="E1151" s="179">
        <v>31.69</v>
      </c>
      <c r="F1151">
        <f t="shared" si="36"/>
        <v>5.7124722310377685E-3</v>
      </c>
      <c r="H1151" s="179"/>
      <c r="R1151" s="199">
        <v>43294</v>
      </c>
      <c r="S1151" s="180">
        <v>4.2919999999999998</v>
      </c>
    </row>
    <row r="1152" spans="2:19">
      <c r="B1152" s="198">
        <v>45299</v>
      </c>
      <c r="C1152" s="178">
        <v>94193.38</v>
      </c>
      <c r="D1152">
        <f t="shared" si="35"/>
        <v>-5.3910117563229498E-3</v>
      </c>
      <c r="E1152" s="179">
        <v>31.45</v>
      </c>
      <c r="F1152">
        <f t="shared" si="36"/>
        <v>-7.5733669927422476E-3</v>
      </c>
      <c r="H1152" s="179"/>
      <c r="R1152" s="199">
        <v>43297</v>
      </c>
      <c r="S1152" s="180">
        <v>4.2919999999999998</v>
      </c>
    </row>
    <row r="1153" spans="2:19">
      <c r="B1153" s="198">
        <v>45300</v>
      </c>
      <c r="C1153" s="178">
        <v>95088.47</v>
      </c>
      <c r="D1153">
        <f t="shared" si="35"/>
        <v>9.5026847958954441E-3</v>
      </c>
      <c r="E1153" s="179">
        <v>31.87</v>
      </c>
      <c r="F1153">
        <f t="shared" si="36"/>
        <v>1.3354531001589898E-2</v>
      </c>
      <c r="H1153" s="179"/>
      <c r="R1153" s="199">
        <v>43298</v>
      </c>
      <c r="S1153" s="180">
        <v>4.2919999999999998</v>
      </c>
    </row>
    <row r="1154" spans="2:19">
      <c r="B1154" s="198">
        <v>45301</v>
      </c>
      <c r="C1154" s="178">
        <v>94511.82</v>
      </c>
      <c r="D1154">
        <f t="shared" si="35"/>
        <v>-6.0643524919476999E-3</v>
      </c>
      <c r="E1154" s="179">
        <v>31.82</v>
      </c>
      <c r="F1154">
        <f t="shared" si="36"/>
        <v>-1.5688735487919825E-3</v>
      </c>
      <c r="H1154" s="179"/>
      <c r="R1154" s="199">
        <v>43299</v>
      </c>
      <c r="S1154" s="180">
        <v>4.2919999999999998</v>
      </c>
    </row>
    <row r="1155" spans="2:19">
      <c r="B1155" s="198">
        <v>45302</v>
      </c>
      <c r="C1155" s="178">
        <v>94933.09</v>
      </c>
      <c r="D1155">
        <f t="shared" si="35"/>
        <v>4.4573260783675739E-3</v>
      </c>
      <c r="E1155" s="179">
        <v>32.03</v>
      </c>
      <c r="F1155">
        <f t="shared" si="36"/>
        <v>6.5996228786926459E-3</v>
      </c>
      <c r="H1155" s="179"/>
      <c r="R1155" s="199">
        <v>43300</v>
      </c>
      <c r="S1155" s="180">
        <v>4.2919999999999998</v>
      </c>
    </row>
    <row r="1156" spans="2:19">
      <c r="B1156" s="198">
        <v>45303</v>
      </c>
      <c r="C1156" s="178">
        <v>94856.320000000007</v>
      </c>
      <c r="D1156">
        <f t="shared" si="35"/>
        <v>-8.086748256059817E-4</v>
      </c>
      <c r="E1156" s="179">
        <v>31.99</v>
      </c>
      <c r="F1156">
        <f t="shared" si="36"/>
        <v>-1.2488292226039421E-3</v>
      </c>
      <c r="H1156" s="179"/>
      <c r="R1156" s="199">
        <v>43301</v>
      </c>
      <c r="S1156" s="180">
        <v>4.2919999999999998</v>
      </c>
    </row>
    <row r="1157" spans="2:19">
      <c r="B1157" s="198">
        <v>45306</v>
      </c>
      <c r="C1157" s="178">
        <v>94850.94</v>
      </c>
      <c r="D1157">
        <f t="shared" si="35"/>
        <v>-5.6717359475988438E-5</v>
      </c>
      <c r="E1157" s="179">
        <v>31.94</v>
      </c>
      <c r="F1157">
        <f t="shared" si="36"/>
        <v>-1.5629884338854705E-3</v>
      </c>
      <c r="H1157" s="179"/>
      <c r="R1157" s="199">
        <v>43304</v>
      </c>
      <c r="S1157" s="180">
        <v>4.2919999999999998</v>
      </c>
    </row>
    <row r="1158" spans="2:19">
      <c r="B1158" s="198">
        <v>45307</v>
      </c>
      <c r="C1158" s="178">
        <v>93832.320000000007</v>
      </c>
      <c r="D1158">
        <f t="shared" si="35"/>
        <v>-1.0739166106313758E-2</v>
      </c>
      <c r="E1158" s="179">
        <v>31.6</v>
      </c>
      <c r="F1158">
        <f t="shared" si="36"/>
        <v>-1.0644959298685031E-2</v>
      </c>
      <c r="H1158" s="179"/>
      <c r="R1158" s="199">
        <v>43305</v>
      </c>
      <c r="S1158" s="180">
        <v>4.2919999999999998</v>
      </c>
    </row>
    <row r="1159" spans="2:19">
      <c r="B1159" s="198">
        <v>45308</v>
      </c>
      <c r="C1159" s="178">
        <v>93530.95</v>
      </c>
      <c r="D1159">
        <f t="shared" si="35"/>
        <v>-3.2117931220287943E-3</v>
      </c>
      <c r="E1159" s="179">
        <v>31.42</v>
      </c>
      <c r="F1159">
        <f t="shared" si="36"/>
        <v>-5.6962025316456E-3</v>
      </c>
      <c r="H1159" s="179"/>
      <c r="R1159" s="199">
        <v>43306</v>
      </c>
      <c r="S1159" s="180">
        <v>4.2919999999999998</v>
      </c>
    </row>
    <row r="1160" spans="2:19">
      <c r="B1160" s="198">
        <v>45309</v>
      </c>
      <c r="C1160" s="178">
        <v>92954.68</v>
      </c>
      <c r="D1160">
        <f t="shared" ref="D1160:D1223" si="37">(C1160/C1159)-1</f>
        <v>-6.161276026812601E-3</v>
      </c>
      <c r="E1160" s="179">
        <v>30.62</v>
      </c>
      <c r="F1160">
        <f t="shared" ref="F1160:F1223" si="38">(E1160/E1159)-1</f>
        <v>-2.5461489497135559E-2</v>
      </c>
      <c r="H1160" s="179"/>
      <c r="R1160" s="199">
        <v>43307</v>
      </c>
      <c r="S1160" s="180">
        <v>4.2919999999999998</v>
      </c>
    </row>
    <row r="1161" spans="2:19">
      <c r="B1161" s="198">
        <v>45310</v>
      </c>
      <c r="C1161" s="178">
        <v>93896.26</v>
      </c>
      <c r="D1161">
        <f t="shared" si="37"/>
        <v>1.0129452330963851E-2</v>
      </c>
      <c r="E1161" s="179">
        <v>31.13</v>
      </c>
      <c r="F1161">
        <f t="shared" si="38"/>
        <v>1.6655780535597575E-2</v>
      </c>
      <c r="H1161" s="179"/>
      <c r="R1161" s="199">
        <v>43308</v>
      </c>
      <c r="S1161" s="180">
        <v>4.2919999999999998</v>
      </c>
    </row>
    <row r="1162" spans="2:19">
      <c r="B1162" s="198">
        <v>45313</v>
      </c>
      <c r="C1162" s="178">
        <v>94509.99</v>
      </c>
      <c r="D1162">
        <f t="shared" si="37"/>
        <v>6.5362560766533129E-3</v>
      </c>
      <c r="E1162" s="179">
        <v>31.46</v>
      </c>
      <c r="F1162">
        <f t="shared" si="38"/>
        <v>1.0600706713780994E-2</v>
      </c>
      <c r="H1162" s="179"/>
      <c r="R1162" s="199">
        <v>43311</v>
      </c>
      <c r="S1162" s="180">
        <v>4.2919999999999998</v>
      </c>
    </row>
    <row r="1163" spans="2:19">
      <c r="B1163" s="198">
        <v>45314</v>
      </c>
      <c r="C1163" s="178">
        <v>94997.95</v>
      </c>
      <c r="D1163">
        <f t="shared" si="37"/>
        <v>5.1630520752354858E-3</v>
      </c>
      <c r="E1163" s="179">
        <v>31.75</v>
      </c>
      <c r="F1163">
        <f t="shared" si="38"/>
        <v>9.2180546726001733E-3</v>
      </c>
      <c r="H1163" s="179"/>
      <c r="R1163" s="199">
        <v>43312</v>
      </c>
      <c r="S1163" s="180">
        <v>4.2919999999999998</v>
      </c>
    </row>
    <row r="1164" spans="2:19">
      <c r="B1164" s="198">
        <v>45315</v>
      </c>
      <c r="C1164" s="178">
        <v>95072.14</v>
      </c>
      <c r="D1164">
        <f t="shared" si="37"/>
        <v>7.8096422080697891E-4</v>
      </c>
      <c r="E1164" s="179">
        <v>31.47</v>
      </c>
      <c r="F1164">
        <f t="shared" si="38"/>
        <v>-8.8188976377953088E-3</v>
      </c>
      <c r="H1164" s="179"/>
      <c r="R1164" s="199">
        <v>43313</v>
      </c>
      <c r="S1164" s="180">
        <v>4.2919999999999998</v>
      </c>
    </row>
    <row r="1165" spans="2:19">
      <c r="B1165" s="198">
        <v>45316</v>
      </c>
      <c r="C1165" s="178">
        <v>95527.26</v>
      </c>
      <c r="D1165">
        <f t="shared" si="37"/>
        <v>4.7871016682698997E-3</v>
      </c>
      <c r="E1165" s="179">
        <v>31.56</v>
      </c>
      <c r="F1165">
        <f t="shared" si="38"/>
        <v>2.8598665395613843E-3</v>
      </c>
      <c r="H1165" s="179"/>
      <c r="R1165" s="199">
        <v>43314</v>
      </c>
      <c r="S1165" s="180">
        <v>4.2919999999999998</v>
      </c>
    </row>
    <row r="1166" spans="2:19">
      <c r="B1166" s="198">
        <v>45320</v>
      </c>
      <c r="C1166" s="178">
        <v>95810.45</v>
      </c>
      <c r="D1166">
        <f t="shared" si="37"/>
        <v>2.9644941140360981E-3</v>
      </c>
      <c r="E1166" s="179">
        <v>31.8</v>
      </c>
      <c r="F1166">
        <f t="shared" si="38"/>
        <v>7.6045627376426506E-3</v>
      </c>
      <c r="H1166" s="179"/>
      <c r="R1166" s="199">
        <v>43315</v>
      </c>
      <c r="S1166" s="180">
        <v>4.2919999999999998</v>
      </c>
    </row>
    <row r="1167" spans="2:19">
      <c r="B1167" s="198">
        <v>45321</v>
      </c>
      <c r="C1167" s="178">
        <v>96138.47</v>
      </c>
      <c r="D1167">
        <f t="shared" si="37"/>
        <v>3.4236348957761287E-3</v>
      </c>
      <c r="E1167" s="179">
        <v>32.17</v>
      </c>
      <c r="F1167">
        <f t="shared" si="38"/>
        <v>1.1635220125786105E-2</v>
      </c>
      <c r="H1167" s="179"/>
      <c r="R1167" s="199">
        <v>43318</v>
      </c>
      <c r="S1167" s="180">
        <v>4.2919999999999998</v>
      </c>
    </row>
    <row r="1168" spans="2:19">
      <c r="B1168" s="198">
        <v>45322</v>
      </c>
      <c r="C1168" s="178">
        <v>97093.07</v>
      </c>
      <c r="D1168">
        <f t="shared" si="37"/>
        <v>9.9294278346639953E-3</v>
      </c>
      <c r="E1168" s="179">
        <v>32.020000000000003</v>
      </c>
      <c r="F1168">
        <f t="shared" si="38"/>
        <v>-4.662729250854758E-3</v>
      </c>
      <c r="H1168" s="179"/>
      <c r="R1168" s="199">
        <v>43319</v>
      </c>
      <c r="S1168" s="180">
        <v>4.2919999999999998</v>
      </c>
    </row>
    <row r="1169" spans="2:19">
      <c r="B1169" s="198">
        <v>45323</v>
      </c>
      <c r="C1169" s="178">
        <v>95938.79</v>
      </c>
      <c r="D1169">
        <f t="shared" si="37"/>
        <v>-1.1888387090860486E-2</v>
      </c>
      <c r="E1169" s="179">
        <v>31.59</v>
      </c>
      <c r="F1169">
        <f t="shared" si="38"/>
        <v>-1.3429106808244939E-2</v>
      </c>
      <c r="H1169" s="179"/>
      <c r="R1169" s="199">
        <v>43320</v>
      </c>
      <c r="S1169" s="180">
        <v>4.2919999999999998</v>
      </c>
    </row>
    <row r="1170" spans="2:19">
      <c r="B1170" s="198">
        <v>45324</v>
      </c>
      <c r="C1170" s="178">
        <v>97327.14</v>
      </c>
      <c r="D1170">
        <f t="shared" si="37"/>
        <v>1.447120606795238E-2</v>
      </c>
      <c r="E1170" s="179">
        <v>31.81</v>
      </c>
      <c r="F1170">
        <f t="shared" si="38"/>
        <v>6.9642291864513428E-3</v>
      </c>
      <c r="H1170" s="179"/>
      <c r="R1170" s="199">
        <v>43321</v>
      </c>
      <c r="S1170" s="180">
        <v>4.2919999999999998</v>
      </c>
    </row>
    <row r="1171" spans="2:19">
      <c r="B1171" s="198">
        <v>45327</v>
      </c>
      <c r="C1171" s="178">
        <v>96392.14</v>
      </c>
      <c r="D1171">
        <f t="shared" si="37"/>
        <v>-9.6067756640131341E-3</v>
      </c>
      <c r="E1171" s="179">
        <v>31.93</v>
      </c>
      <c r="F1171">
        <f t="shared" si="38"/>
        <v>3.7723986167872425E-3</v>
      </c>
      <c r="H1171" s="179"/>
      <c r="R1171" s="199">
        <v>43322</v>
      </c>
      <c r="S1171" s="180">
        <v>4.2919999999999998</v>
      </c>
    </row>
    <row r="1172" spans="2:19">
      <c r="B1172" s="198">
        <v>45328</v>
      </c>
      <c r="C1172" s="178">
        <v>95821.96</v>
      </c>
      <c r="D1172">
        <f t="shared" si="37"/>
        <v>-5.9152125889101459E-3</v>
      </c>
      <c r="E1172" s="179">
        <v>31.43</v>
      </c>
      <c r="F1172">
        <f t="shared" si="38"/>
        <v>-1.5659254619480145E-2</v>
      </c>
      <c r="H1172" s="179"/>
      <c r="R1172" s="199">
        <v>43325</v>
      </c>
      <c r="S1172" s="180">
        <v>4.2919999999999998</v>
      </c>
    </row>
    <row r="1173" spans="2:19">
      <c r="B1173" s="198">
        <v>45329</v>
      </c>
      <c r="C1173" s="178">
        <v>96338.26</v>
      </c>
      <c r="D1173">
        <f t="shared" si="37"/>
        <v>5.3881177133090485E-3</v>
      </c>
      <c r="E1173" s="179">
        <v>31.27</v>
      </c>
      <c r="F1173">
        <f t="shared" si="38"/>
        <v>-5.0906776964683154E-3</v>
      </c>
      <c r="H1173" s="179"/>
      <c r="R1173" s="199">
        <v>43326</v>
      </c>
      <c r="S1173" s="180">
        <v>4.2919999999999998</v>
      </c>
    </row>
    <row r="1174" spans="2:19">
      <c r="B1174" s="198">
        <v>45330</v>
      </c>
      <c r="C1174" s="178">
        <v>96636.6</v>
      </c>
      <c r="D1174">
        <f t="shared" si="37"/>
        <v>3.0967966413344428E-3</v>
      </c>
      <c r="E1174" s="179">
        <v>31.44</v>
      </c>
      <c r="F1174">
        <f t="shared" si="38"/>
        <v>5.4365206267990018E-3</v>
      </c>
      <c r="H1174" s="179"/>
      <c r="R1174" s="199">
        <v>43327</v>
      </c>
      <c r="S1174" s="180">
        <v>4.2919999999999998</v>
      </c>
    </row>
    <row r="1175" spans="2:19">
      <c r="B1175" s="198">
        <v>45331</v>
      </c>
      <c r="C1175" s="178">
        <v>96753.56</v>
      </c>
      <c r="D1175">
        <f t="shared" si="37"/>
        <v>1.2103074818443638E-3</v>
      </c>
      <c r="E1175" s="179">
        <v>31.8</v>
      </c>
      <c r="F1175">
        <f t="shared" si="38"/>
        <v>1.1450381679389388E-2</v>
      </c>
      <c r="H1175" s="179"/>
      <c r="R1175" s="199">
        <v>43328</v>
      </c>
      <c r="S1175" s="180">
        <v>4.2919999999999998</v>
      </c>
    </row>
    <row r="1176" spans="2:19">
      <c r="B1176" s="198">
        <v>45334</v>
      </c>
      <c r="C1176" s="178">
        <v>96454.71</v>
      </c>
      <c r="D1176">
        <f t="shared" si="37"/>
        <v>-3.0887752347302788E-3</v>
      </c>
      <c r="E1176" s="179">
        <v>32.11</v>
      </c>
      <c r="F1176">
        <f t="shared" si="38"/>
        <v>9.7484276729560282E-3</v>
      </c>
      <c r="H1176" s="179"/>
      <c r="R1176" s="199">
        <v>43329</v>
      </c>
      <c r="S1176" s="180">
        <v>4.2919999999999998</v>
      </c>
    </row>
    <row r="1177" spans="2:19">
      <c r="B1177" s="198">
        <v>45335</v>
      </c>
      <c r="C1177" s="178">
        <v>96300.9</v>
      </c>
      <c r="D1177">
        <f t="shared" si="37"/>
        <v>-1.5946344144315283E-3</v>
      </c>
      <c r="E1177" s="179">
        <v>32.36</v>
      </c>
      <c r="F1177">
        <f t="shared" si="38"/>
        <v>7.7857365306757131E-3</v>
      </c>
      <c r="H1177" s="179"/>
      <c r="R1177" s="199">
        <v>43332</v>
      </c>
      <c r="S1177" s="180">
        <v>4.2919999999999998</v>
      </c>
    </row>
    <row r="1178" spans="2:19">
      <c r="B1178" s="198">
        <v>45336</v>
      </c>
      <c r="C1178" s="178">
        <v>95598.7</v>
      </c>
      <c r="D1178">
        <f t="shared" si="37"/>
        <v>-7.2917283223729035E-3</v>
      </c>
      <c r="E1178" s="179">
        <v>32.15</v>
      </c>
      <c r="F1178">
        <f t="shared" si="38"/>
        <v>-6.4894932014832873E-3</v>
      </c>
      <c r="H1178" s="179"/>
      <c r="R1178" s="199">
        <v>43333</v>
      </c>
      <c r="S1178" s="180">
        <v>4.2919999999999998</v>
      </c>
    </row>
    <row r="1179" spans="2:19">
      <c r="B1179" s="198">
        <v>45337</v>
      </c>
      <c r="C1179" s="178">
        <v>96365.92</v>
      </c>
      <c r="D1179">
        <f t="shared" si="37"/>
        <v>8.0254229398517563E-3</v>
      </c>
      <c r="E1179" s="179">
        <v>32.049999999999997</v>
      </c>
      <c r="F1179">
        <f t="shared" si="38"/>
        <v>-3.1104199066874783E-3</v>
      </c>
      <c r="H1179" s="179"/>
      <c r="R1179" s="199">
        <v>43334</v>
      </c>
      <c r="S1179" s="180">
        <v>4.2919999999999998</v>
      </c>
    </row>
    <row r="1180" spans="2:19">
      <c r="B1180" s="198">
        <v>45338</v>
      </c>
      <c r="C1180" s="178">
        <v>97027.839999999997</v>
      </c>
      <c r="D1180">
        <f t="shared" si="37"/>
        <v>6.8688183540404069E-3</v>
      </c>
      <c r="E1180" s="179">
        <v>31.94</v>
      </c>
      <c r="F1180">
        <f t="shared" si="38"/>
        <v>-3.432137285491299E-3</v>
      </c>
      <c r="H1180" s="179"/>
      <c r="R1180" s="199">
        <v>43335</v>
      </c>
      <c r="S1180" s="180">
        <v>4.2919999999999998</v>
      </c>
    </row>
    <row r="1181" spans="2:19">
      <c r="B1181" s="198">
        <v>45341</v>
      </c>
      <c r="C1181" s="178">
        <v>97121.85</v>
      </c>
      <c r="D1181">
        <f t="shared" si="37"/>
        <v>9.6889717425452382E-4</v>
      </c>
      <c r="E1181" s="179">
        <v>31.71</v>
      </c>
      <c r="F1181">
        <f t="shared" si="38"/>
        <v>-7.2010018785222396E-3</v>
      </c>
      <c r="H1181" s="179"/>
      <c r="R1181" s="199">
        <v>43336</v>
      </c>
      <c r="S1181" s="180">
        <v>4.2919999999999998</v>
      </c>
    </row>
    <row r="1182" spans="2:19">
      <c r="B1182" s="198">
        <v>45342</v>
      </c>
      <c r="C1182" s="178">
        <v>97162.35</v>
      </c>
      <c r="D1182">
        <f t="shared" si="37"/>
        <v>4.1700194137561652E-4</v>
      </c>
      <c r="E1182" s="179">
        <v>29.24</v>
      </c>
      <c r="F1182">
        <f t="shared" si="38"/>
        <v>-7.7893409019236914E-2</v>
      </c>
      <c r="H1182" s="179"/>
      <c r="R1182" s="199">
        <v>43339</v>
      </c>
      <c r="S1182" s="180">
        <v>4.2919999999999998</v>
      </c>
    </row>
    <row r="1183" spans="2:19">
      <c r="B1183" s="198">
        <v>45343</v>
      </c>
      <c r="C1183" s="178">
        <v>96684.47</v>
      </c>
      <c r="D1183">
        <f t="shared" si="37"/>
        <v>-4.918366013172859E-3</v>
      </c>
      <c r="E1183" s="179">
        <v>29.1</v>
      </c>
      <c r="F1183">
        <f t="shared" si="38"/>
        <v>-4.7879616963063532E-3</v>
      </c>
      <c r="H1183" s="179"/>
      <c r="R1183" s="199">
        <v>43340</v>
      </c>
      <c r="S1183" s="180">
        <v>4.2919999999999998</v>
      </c>
    </row>
    <row r="1184" spans="2:19">
      <c r="B1184" s="198">
        <v>45344</v>
      </c>
      <c r="C1184" s="178">
        <v>96768.76</v>
      </c>
      <c r="D1184">
        <f t="shared" si="37"/>
        <v>8.7180495481842257E-4</v>
      </c>
      <c r="E1184" s="179">
        <v>28.97</v>
      </c>
      <c r="F1184">
        <f t="shared" si="38"/>
        <v>-4.4673539518901295E-3</v>
      </c>
      <c r="H1184" s="179"/>
      <c r="R1184" s="199">
        <v>43341</v>
      </c>
      <c r="S1184" s="180">
        <v>4.2919999999999998</v>
      </c>
    </row>
    <row r="1185" spans="2:19">
      <c r="B1185" s="198">
        <v>45345</v>
      </c>
      <c r="C1185" s="178">
        <v>97194.32</v>
      </c>
      <c r="D1185">
        <f t="shared" si="37"/>
        <v>4.3977002495434458E-3</v>
      </c>
      <c r="E1185" s="179">
        <v>29.3</v>
      </c>
      <c r="F1185">
        <f t="shared" si="38"/>
        <v>1.1391094235416066E-2</v>
      </c>
      <c r="H1185" s="179"/>
      <c r="R1185" s="199">
        <v>43342</v>
      </c>
      <c r="S1185" s="180">
        <v>4.2919999999999998</v>
      </c>
    </row>
    <row r="1186" spans="2:19">
      <c r="B1186" s="198">
        <v>45348</v>
      </c>
      <c r="C1186" s="178">
        <v>97348.79</v>
      </c>
      <c r="D1186">
        <f t="shared" si="37"/>
        <v>1.5892904029781718E-3</v>
      </c>
      <c r="E1186" s="179">
        <v>29.39</v>
      </c>
      <c r="F1186">
        <f t="shared" si="38"/>
        <v>3.0716723549488734E-3</v>
      </c>
      <c r="H1186" s="179"/>
      <c r="R1186" s="199">
        <v>43343</v>
      </c>
      <c r="S1186" s="180">
        <v>4.2919999999999998</v>
      </c>
    </row>
    <row r="1187" spans="2:19">
      <c r="B1187" s="198">
        <v>45349</v>
      </c>
      <c r="C1187" s="178">
        <v>97539.5</v>
      </c>
      <c r="D1187">
        <f t="shared" si="37"/>
        <v>1.9590382171159604E-3</v>
      </c>
      <c r="E1187" s="179">
        <v>29.3</v>
      </c>
      <c r="F1187">
        <f t="shared" si="38"/>
        <v>-3.0622660768968579E-3</v>
      </c>
      <c r="H1187" s="179"/>
      <c r="R1187" s="199">
        <v>43346</v>
      </c>
      <c r="S1187" s="180">
        <v>4.2919999999999998</v>
      </c>
    </row>
    <row r="1188" spans="2:19">
      <c r="B1188" s="198">
        <v>45350</v>
      </c>
      <c r="C1188" s="178">
        <v>97671.66</v>
      </c>
      <c r="D1188">
        <f t="shared" si="37"/>
        <v>1.3549382557835887E-3</v>
      </c>
      <c r="E1188" s="179">
        <v>29.3</v>
      </c>
      <c r="F1188">
        <f t="shared" si="38"/>
        <v>0</v>
      </c>
      <c r="H1188" s="179"/>
      <c r="R1188" s="199">
        <v>43347</v>
      </c>
      <c r="S1188" s="180">
        <v>4.2919999999999998</v>
      </c>
    </row>
    <row r="1189" spans="2:19">
      <c r="B1189" s="198">
        <v>45351</v>
      </c>
      <c r="C1189" s="178">
        <v>98227.83</v>
      </c>
      <c r="D1189">
        <f t="shared" si="37"/>
        <v>5.6942822513714741E-3</v>
      </c>
      <c r="E1189" s="179">
        <v>29.85</v>
      </c>
      <c r="F1189">
        <f t="shared" si="38"/>
        <v>1.8771331058020424E-2</v>
      </c>
      <c r="H1189" s="179"/>
      <c r="R1189" s="199">
        <v>43348</v>
      </c>
      <c r="S1189" s="180">
        <v>4.2919999999999998</v>
      </c>
    </row>
    <row r="1190" spans="2:19">
      <c r="B1190" s="198">
        <v>45352</v>
      </c>
      <c r="C1190" s="178">
        <v>98850.82</v>
      </c>
      <c r="D1190">
        <f t="shared" si="37"/>
        <v>6.3422962718406861E-3</v>
      </c>
      <c r="E1190" s="179">
        <v>29.15</v>
      </c>
      <c r="F1190">
        <f t="shared" si="38"/>
        <v>-2.3450586264656681E-2</v>
      </c>
      <c r="H1190" s="179"/>
      <c r="R1190" s="199">
        <v>43349</v>
      </c>
      <c r="S1190" s="180">
        <v>4.2919999999999998</v>
      </c>
    </row>
    <row r="1191" spans="2:19">
      <c r="B1191" s="198">
        <v>45355</v>
      </c>
      <c r="C1191" s="178">
        <v>98737.51</v>
      </c>
      <c r="D1191">
        <f t="shared" si="37"/>
        <v>-1.1462727370395998E-3</v>
      </c>
      <c r="E1191" s="179">
        <v>28.57</v>
      </c>
      <c r="F1191">
        <f t="shared" si="38"/>
        <v>-1.9897084048027369E-2</v>
      </c>
      <c r="H1191" s="179"/>
      <c r="R1191" s="199">
        <v>43350</v>
      </c>
      <c r="S1191" s="180">
        <v>4.2919999999999998</v>
      </c>
    </row>
    <row r="1192" spans="2:19">
      <c r="B1192" s="198">
        <v>45356</v>
      </c>
      <c r="C1192" s="178">
        <v>98696.55</v>
      </c>
      <c r="D1192">
        <f t="shared" si="37"/>
        <v>-4.148372791656918E-4</v>
      </c>
      <c r="E1192" s="179">
        <v>28.04</v>
      </c>
      <c r="F1192">
        <f t="shared" si="38"/>
        <v>-1.8550927546377327E-2</v>
      </c>
      <c r="H1192" s="179"/>
      <c r="R1192" s="199">
        <v>43353</v>
      </c>
      <c r="S1192" s="180">
        <v>4.2919999999999998</v>
      </c>
    </row>
    <row r="1193" spans="2:19">
      <c r="B1193" s="198">
        <v>45357</v>
      </c>
      <c r="C1193" s="178">
        <v>98770.78</v>
      </c>
      <c r="D1193">
        <f t="shared" si="37"/>
        <v>7.5210329033792434E-4</v>
      </c>
      <c r="E1193" s="179">
        <v>28.21</v>
      </c>
      <c r="F1193">
        <f t="shared" si="38"/>
        <v>6.0627674750357574E-3</v>
      </c>
      <c r="H1193" s="179"/>
      <c r="R1193" s="199">
        <v>43354</v>
      </c>
      <c r="S1193" s="180">
        <v>4.2919999999999998</v>
      </c>
    </row>
    <row r="1194" spans="2:19">
      <c r="B1194" s="198">
        <v>45358</v>
      </c>
      <c r="C1194" s="178">
        <v>99574.32</v>
      </c>
      <c r="D1194">
        <f t="shared" si="37"/>
        <v>8.1354019883208561E-3</v>
      </c>
      <c r="E1194" s="179">
        <v>28.16</v>
      </c>
      <c r="F1194">
        <f t="shared" si="38"/>
        <v>-1.7724211272598378E-3</v>
      </c>
      <c r="H1194" s="179"/>
      <c r="R1194" s="199">
        <v>43355</v>
      </c>
      <c r="S1194" s="180">
        <v>4.2919999999999998</v>
      </c>
    </row>
    <row r="1195" spans="2:19">
      <c r="B1195" s="198">
        <v>45359</v>
      </c>
      <c r="C1195" s="178">
        <v>100582.9</v>
      </c>
      <c r="D1195">
        <f t="shared" si="37"/>
        <v>1.0128916772918828E-2</v>
      </c>
      <c r="E1195" s="179">
        <v>28.48</v>
      </c>
      <c r="F1195">
        <f t="shared" si="38"/>
        <v>1.1363636363636465E-2</v>
      </c>
      <c r="H1195" s="179"/>
      <c r="R1195" s="199">
        <v>43356</v>
      </c>
      <c r="S1195" s="180">
        <v>4.2919999999999998</v>
      </c>
    </row>
    <row r="1196" spans="2:19">
      <c r="B1196" s="198">
        <v>45362</v>
      </c>
      <c r="C1196" s="178">
        <v>98837.84</v>
      </c>
      <c r="D1196">
        <f t="shared" si="37"/>
        <v>-1.7349469939721307E-2</v>
      </c>
      <c r="E1196" s="179">
        <v>28.47</v>
      </c>
      <c r="F1196">
        <f t="shared" si="38"/>
        <v>-3.5112359550570904E-4</v>
      </c>
      <c r="H1196" s="179"/>
      <c r="R1196" s="199">
        <v>43357</v>
      </c>
      <c r="S1196" s="180">
        <v>4.2919999999999998</v>
      </c>
    </row>
    <row r="1197" spans="2:19">
      <c r="B1197" s="198">
        <v>45363</v>
      </c>
      <c r="C1197" s="178">
        <v>98976.1</v>
      </c>
      <c r="D1197">
        <f t="shared" si="37"/>
        <v>1.3988569559999497E-3</v>
      </c>
      <c r="E1197" s="179">
        <v>28.02</v>
      </c>
      <c r="F1197">
        <f t="shared" si="38"/>
        <v>-1.5806111696522684E-2</v>
      </c>
      <c r="H1197" s="179"/>
      <c r="R1197" s="199">
        <v>43360</v>
      </c>
      <c r="S1197" s="180">
        <v>4.2919999999999998</v>
      </c>
    </row>
    <row r="1198" spans="2:19">
      <c r="B1198" s="198">
        <v>45364</v>
      </c>
      <c r="C1198" s="178">
        <v>99199.53</v>
      </c>
      <c r="D1198">
        <f t="shared" si="37"/>
        <v>2.2574136584487814E-3</v>
      </c>
      <c r="E1198" s="179">
        <v>28.4</v>
      </c>
      <c r="F1198">
        <f t="shared" si="38"/>
        <v>1.3561741613133504E-2</v>
      </c>
      <c r="H1198" s="179"/>
      <c r="R1198" s="199">
        <v>43361</v>
      </c>
      <c r="S1198" s="180">
        <v>4.2919999999999998</v>
      </c>
    </row>
    <row r="1199" spans="2:19">
      <c r="B1199" s="198">
        <v>45365</v>
      </c>
      <c r="C1199" s="178">
        <v>99021.2</v>
      </c>
      <c r="D1199">
        <f t="shared" si="37"/>
        <v>-1.7976899688940673E-3</v>
      </c>
      <c r="E1199" s="179">
        <v>28.01</v>
      </c>
      <c r="F1199">
        <f t="shared" si="38"/>
        <v>-1.3732394366197109E-2</v>
      </c>
      <c r="H1199" s="179"/>
      <c r="R1199" s="199">
        <v>43362</v>
      </c>
      <c r="S1199" s="180">
        <v>4.2919999999999998</v>
      </c>
    </row>
    <row r="1200" spans="2:19">
      <c r="B1200" s="198">
        <v>45366</v>
      </c>
      <c r="C1200" s="178">
        <v>98402.82</v>
      </c>
      <c r="D1200">
        <f t="shared" si="37"/>
        <v>-6.2449253291213536E-3</v>
      </c>
      <c r="E1200" s="179">
        <v>28.05</v>
      </c>
      <c r="F1200">
        <f t="shared" si="38"/>
        <v>1.428061406640424E-3</v>
      </c>
      <c r="H1200" s="179"/>
      <c r="R1200" s="199">
        <v>43363</v>
      </c>
      <c r="S1200" s="180">
        <v>4.2919999999999998</v>
      </c>
    </row>
    <row r="1201" spans="2:19">
      <c r="B1201" s="198">
        <v>45369</v>
      </c>
      <c r="C1201" s="178">
        <v>98424.56</v>
      </c>
      <c r="D1201">
        <f t="shared" si="37"/>
        <v>2.209286278582745E-4</v>
      </c>
      <c r="E1201" s="179">
        <v>27.87</v>
      </c>
      <c r="F1201">
        <f t="shared" si="38"/>
        <v>-6.4171122994651775E-3</v>
      </c>
      <c r="H1201" s="179"/>
      <c r="R1201" s="199">
        <v>43364</v>
      </c>
      <c r="S1201" s="180">
        <v>4.2919999999999998</v>
      </c>
    </row>
    <row r="1202" spans="2:19">
      <c r="B1202" s="198">
        <v>45370</v>
      </c>
      <c r="C1202" s="178">
        <v>98832.2</v>
      </c>
      <c r="D1202">
        <f t="shared" si="37"/>
        <v>4.1416491981269843E-3</v>
      </c>
      <c r="E1202" s="179">
        <v>27.35</v>
      </c>
      <c r="F1202">
        <f t="shared" si="38"/>
        <v>-1.8658055256548289E-2</v>
      </c>
      <c r="H1202" s="179"/>
      <c r="R1202" s="199">
        <v>43367</v>
      </c>
      <c r="S1202" s="180">
        <v>4.2919999999999998</v>
      </c>
    </row>
    <row r="1203" spans="2:19">
      <c r="B1203" s="198">
        <v>45371</v>
      </c>
      <c r="C1203" s="178">
        <v>98793.27</v>
      </c>
      <c r="D1203">
        <f t="shared" si="37"/>
        <v>-3.9389996377692249E-4</v>
      </c>
      <c r="E1203" s="179">
        <v>27.29</v>
      </c>
      <c r="F1203">
        <f t="shared" si="38"/>
        <v>-2.1937842778794181E-3</v>
      </c>
      <c r="H1203" s="179"/>
      <c r="R1203" s="199">
        <v>43368</v>
      </c>
      <c r="S1203" s="180">
        <v>4.2919999999999998</v>
      </c>
    </row>
    <row r="1204" spans="2:19">
      <c r="B1204" s="198">
        <v>45372</v>
      </c>
      <c r="C1204" s="178">
        <v>99919.81</v>
      </c>
      <c r="D1204">
        <f t="shared" si="37"/>
        <v>1.1403003463697381E-2</v>
      </c>
      <c r="E1204" s="179">
        <v>28.13</v>
      </c>
      <c r="F1204">
        <f t="shared" si="38"/>
        <v>3.0780505679736114E-2</v>
      </c>
      <c r="H1204" s="179"/>
      <c r="R1204" s="199">
        <v>43369</v>
      </c>
      <c r="S1204" s="180">
        <v>4.2919999999999998</v>
      </c>
    </row>
    <row r="1205" spans="2:19">
      <c r="B1205" s="198">
        <v>45373</v>
      </c>
      <c r="C1205" s="178">
        <v>99693.35</v>
      </c>
      <c r="D1205">
        <f t="shared" si="37"/>
        <v>-2.2664174401452186E-3</v>
      </c>
      <c r="E1205" s="179">
        <v>28.54</v>
      </c>
      <c r="F1205">
        <f t="shared" si="38"/>
        <v>1.4575186633487336E-2</v>
      </c>
      <c r="H1205" s="179"/>
      <c r="R1205" s="199">
        <v>43370</v>
      </c>
      <c r="S1205" s="180">
        <v>4.2919999999999998</v>
      </c>
    </row>
    <row r="1206" spans="2:19">
      <c r="B1206" s="198">
        <v>45376</v>
      </c>
      <c r="C1206" s="178">
        <v>100257.22</v>
      </c>
      <c r="D1206">
        <f t="shared" si="37"/>
        <v>5.656044259722437E-3</v>
      </c>
      <c r="E1206" s="179">
        <v>28.96</v>
      </c>
      <c r="F1206">
        <f t="shared" si="38"/>
        <v>1.4716187806587344E-2</v>
      </c>
      <c r="H1206" s="179"/>
      <c r="R1206" s="199">
        <v>43371</v>
      </c>
      <c r="S1206" s="180">
        <v>4.2919999999999998</v>
      </c>
    </row>
    <row r="1207" spans="2:19">
      <c r="B1207" s="198">
        <v>45377</v>
      </c>
      <c r="C1207" s="178">
        <v>99836.96</v>
      </c>
      <c r="D1207">
        <f t="shared" si="37"/>
        <v>-4.1918178062387845E-3</v>
      </c>
      <c r="E1207" s="179">
        <v>29.18</v>
      </c>
      <c r="F1207">
        <f t="shared" si="38"/>
        <v>7.5966850828728116E-3</v>
      </c>
      <c r="H1207" s="179"/>
      <c r="R1207" s="199">
        <v>43374</v>
      </c>
      <c r="S1207" s="180">
        <v>4.2919999999999998</v>
      </c>
    </row>
    <row r="1208" spans="2:19">
      <c r="B1208" s="198">
        <v>45378</v>
      </c>
      <c r="C1208" s="178">
        <v>100308.08</v>
      </c>
      <c r="D1208">
        <f t="shared" si="37"/>
        <v>4.7188936842628149E-3</v>
      </c>
      <c r="E1208" s="179">
        <v>29.28</v>
      </c>
      <c r="F1208">
        <f t="shared" si="38"/>
        <v>3.4270047978066653E-3</v>
      </c>
      <c r="H1208" s="179"/>
      <c r="R1208" s="199">
        <v>43375</v>
      </c>
      <c r="S1208" s="180">
        <v>4.2919999999999998</v>
      </c>
    </row>
    <row r="1209" spans="2:19">
      <c r="B1209" s="198">
        <v>45379</v>
      </c>
      <c r="C1209" s="178">
        <v>101304.46</v>
      </c>
      <c r="D1209">
        <f t="shared" si="37"/>
        <v>9.9331978042047631E-3</v>
      </c>
      <c r="E1209" s="179">
        <v>29.41</v>
      </c>
      <c r="F1209">
        <f t="shared" si="38"/>
        <v>4.4398907103824214E-3</v>
      </c>
      <c r="H1209" s="179"/>
      <c r="R1209" s="199">
        <v>43376</v>
      </c>
      <c r="S1209" s="180">
        <v>4.2919999999999998</v>
      </c>
    </row>
    <row r="1210" spans="2:19">
      <c r="B1210" s="198">
        <v>45384</v>
      </c>
      <c r="C1210" s="178">
        <v>101210.63</v>
      </c>
      <c r="D1210">
        <f t="shared" si="37"/>
        <v>-9.2621785852275984E-4</v>
      </c>
      <c r="E1210" s="179">
        <v>29.33</v>
      </c>
      <c r="F1210">
        <f t="shared" si="38"/>
        <v>-2.7201632097926254E-3</v>
      </c>
      <c r="H1210" s="179"/>
      <c r="R1210" s="199">
        <v>43377</v>
      </c>
      <c r="S1210" s="180">
        <v>4.2919999999999998</v>
      </c>
    </row>
    <row r="1211" spans="2:19">
      <c r="B1211" s="198">
        <v>45385</v>
      </c>
      <c r="C1211" s="178">
        <v>99817.58</v>
      </c>
      <c r="D1211">
        <f t="shared" si="37"/>
        <v>-1.3763870455109295E-2</v>
      </c>
      <c r="E1211" s="179">
        <v>29.03</v>
      </c>
      <c r="F1211">
        <f t="shared" si="38"/>
        <v>-1.0228435049437379E-2</v>
      </c>
      <c r="H1211" s="179"/>
      <c r="R1211" s="199">
        <v>43378</v>
      </c>
      <c r="S1211" s="180">
        <v>4.2919999999999998</v>
      </c>
    </row>
    <row r="1212" spans="2:19">
      <c r="B1212" s="198">
        <v>45386</v>
      </c>
      <c r="C1212" s="178">
        <v>100301.8</v>
      </c>
      <c r="D1212">
        <f t="shared" si="37"/>
        <v>4.8510492841040698E-3</v>
      </c>
      <c r="E1212" s="179">
        <v>29.05</v>
      </c>
      <c r="F1212">
        <f t="shared" si="38"/>
        <v>6.8894247330342218E-4</v>
      </c>
      <c r="H1212" s="179"/>
      <c r="R1212" s="199">
        <v>43381</v>
      </c>
      <c r="S1212" s="180">
        <v>4.2919999999999998</v>
      </c>
    </row>
    <row r="1213" spans="2:19">
      <c r="B1213" s="198">
        <v>45387</v>
      </c>
      <c r="C1213" s="178">
        <v>99725.06</v>
      </c>
      <c r="D1213">
        <f t="shared" si="37"/>
        <v>-5.7500463600853591E-3</v>
      </c>
      <c r="E1213" s="179">
        <v>28.95</v>
      </c>
      <c r="F1213">
        <f t="shared" si="38"/>
        <v>-3.4423407917384408E-3</v>
      </c>
      <c r="H1213" s="179"/>
      <c r="R1213" s="199">
        <v>43382</v>
      </c>
      <c r="S1213" s="180">
        <v>4.2919999999999998</v>
      </c>
    </row>
    <row r="1214" spans="2:19">
      <c r="B1214" s="198">
        <v>45390</v>
      </c>
      <c r="C1214" s="178">
        <v>99959.45</v>
      </c>
      <c r="D1214">
        <f t="shared" si="37"/>
        <v>2.3503620855178653E-3</v>
      </c>
      <c r="E1214" s="179">
        <v>29.08</v>
      </c>
      <c r="F1214">
        <f t="shared" si="38"/>
        <v>4.4905008635578447E-3</v>
      </c>
      <c r="H1214" s="179"/>
      <c r="R1214" s="199">
        <v>43383</v>
      </c>
      <c r="S1214" s="180">
        <v>4.2919999999999998</v>
      </c>
    </row>
    <row r="1215" spans="2:19">
      <c r="B1215" s="198">
        <v>45391</v>
      </c>
      <c r="C1215" s="178">
        <v>100411.75</v>
      </c>
      <c r="D1215">
        <f t="shared" si="37"/>
        <v>4.5248348205197964E-3</v>
      </c>
      <c r="E1215" s="179">
        <v>28.77</v>
      </c>
      <c r="F1215">
        <f t="shared" si="38"/>
        <v>-1.0660247592847227E-2</v>
      </c>
      <c r="H1215" s="179"/>
      <c r="R1215" s="199">
        <v>43384</v>
      </c>
      <c r="S1215" s="180">
        <v>4.2919999999999998</v>
      </c>
    </row>
    <row r="1216" spans="2:19">
      <c r="B1216" s="198">
        <v>45392</v>
      </c>
      <c r="C1216" s="178">
        <v>100766.53</v>
      </c>
      <c r="D1216">
        <f t="shared" si="37"/>
        <v>3.533251835567075E-3</v>
      </c>
      <c r="E1216" s="179">
        <v>28.69</v>
      </c>
      <c r="F1216">
        <f t="shared" si="38"/>
        <v>-2.7806743135209144E-3</v>
      </c>
      <c r="H1216" s="179"/>
      <c r="R1216" s="199">
        <v>43385</v>
      </c>
      <c r="S1216" s="180">
        <v>4.2919999999999998</v>
      </c>
    </row>
    <row r="1217" spans="2:19">
      <c r="B1217" s="198">
        <v>45393</v>
      </c>
      <c r="C1217" s="178">
        <v>100323.61</v>
      </c>
      <c r="D1217">
        <f t="shared" si="37"/>
        <v>-4.3955071192786077E-3</v>
      </c>
      <c r="E1217" s="179">
        <v>27.55</v>
      </c>
      <c r="F1217">
        <f t="shared" si="38"/>
        <v>-3.9735099337748325E-2</v>
      </c>
      <c r="H1217" s="179"/>
      <c r="R1217" s="199">
        <v>43388</v>
      </c>
      <c r="S1217" s="180">
        <v>4.2919999999999998</v>
      </c>
    </row>
    <row r="1218" spans="2:19">
      <c r="B1218" s="198">
        <v>45394</v>
      </c>
      <c r="C1218" s="178">
        <v>100027.39</v>
      </c>
      <c r="D1218">
        <f t="shared" si="37"/>
        <v>-2.9526449456912518E-3</v>
      </c>
      <c r="E1218" s="179">
        <v>27.07</v>
      </c>
      <c r="F1218">
        <f t="shared" si="38"/>
        <v>-1.7422867513611662E-2</v>
      </c>
      <c r="H1218" s="179"/>
      <c r="R1218" s="199">
        <v>43389</v>
      </c>
      <c r="S1218" s="180">
        <v>4.2919999999999998</v>
      </c>
    </row>
    <row r="1219" spans="2:19">
      <c r="B1219" s="198">
        <v>45397</v>
      </c>
      <c r="C1219" s="178">
        <v>99525.35</v>
      </c>
      <c r="D1219">
        <f t="shared" si="37"/>
        <v>-5.0190252889732445E-3</v>
      </c>
      <c r="E1219" s="179">
        <v>26.73</v>
      </c>
      <c r="F1219">
        <f t="shared" si="38"/>
        <v>-1.2560029553010721E-2</v>
      </c>
      <c r="H1219" s="179"/>
      <c r="R1219" s="199">
        <v>43390</v>
      </c>
      <c r="S1219" s="180">
        <v>4.2919999999999998</v>
      </c>
    </row>
    <row r="1220" spans="2:19">
      <c r="B1220" s="198">
        <v>45398</v>
      </c>
      <c r="C1220" s="178">
        <v>97698.06</v>
      </c>
      <c r="D1220">
        <f t="shared" si="37"/>
        <v>-1.8360045958140447E-2</v>
      </c>
      <c r="E1220" s="179">
        <v>26.47</v>
      </c>
      <c r="F1220">
        <f t="shared" si="38"/>
        <v>-9.7268986157875714E-3</v>
      </c>
      <c r="H1220" s="179"/>
      <c r="R1220" s="199">
        <v>43391</v>
      </c>
      <c r="S1220" s="180">
        <v>4.2919999999999998</v>
      </c>
    </row>
    <row r="1221" spans="2:19">
      <c r="B1221" s="198">
        <v>45399</v>
      </c>
      <c r="C1221" s="178">
        <v>97687.13</v>
      </c>
      <c r="D1221">
        <f t="shared" si="37"/>
        <v>-1.1187530233447429E-4</v>
      </c>
      <c r="E1221" s="179">
        <v>25.99</v>
      </c>
      <c r="F1221">
        <f t="shared" si="38"/>
        <v>-1.813373630525128E-2</v>
      </c>
      <c r="H1221" s="179"/>
      <c r="R1221" s="199">
        <v>43392</v>
      </c>
      <c r="S1221" s="180">
        <v>4.2919999999999998</v>
      </c>
    </row>
    <row r="1222" spans="2:19">
      <c r="B1222" s="198">
        <v>45400</v>
      </c>
      <c r="C1222" s="178">
        <v>98158.54</v>
      </c>
      <c r="D1222">
        <f t="shared" si="37"/>
        <v>4.8257124556734254E-3</v>
      </c>
      <c r="E1222" s="179">
        <v>25.91</v>
      </c>
      <c r="F1222">
        <f t="shared" si="38"/>
        <v>-3.0781069642169534E-3</v>
      </c>
      <c r="H1222" s="179"/>
      <c r="R1222" s="199">
        <v>43395</v>
      </c>
      <c r="S1222" s="180">
        <v>4.2919999999999998</v>
      </c>
    </row>
    <row r="1223" spans="2:19">
      <c r="B1223" s="198">
        <v>45401</v>
      </c>
      <c r="C1223" s="178">
        <v>97145.68</v>
      </c>
      <c r="D1223">
        <f t="shared" si="37"/>
        <v>-1.0318613133406429E-2</v>
      </c>
      <c r="E1223" s="179">
        <v>26.27</v>
      </c>
      <c r="F1223">
        <f t="shared" si="38"/>
        <v>1.3894249324585051E-2</v>
      </c>
      <c r="H1223" s="179"/>
      <c r="R1223" s="199">
        <v>43396</v>
      </c>
      <c r="S1223" s="180">
        <v>4.2919999999999998</v>
      </c>
    </row>
    <row r="1224" spans="2:19">
      <c r="B1224" s="198">
        <v>45404</v>
      </c>
      <c r="C1224" s="178">
        <v>98197.84</v>
      </c>
      <c r="D1224">
        <f t="shared" ref="D1224:D1271" si="39">(C1224/C1223)-1</f>
        <v>1.0830744094848077E-2</v>
      </c>
      <c r="E1224" s="179">
        <v>26.45</v>
      </c>
      <c r="F1224">
        <f t="shared" ref="F1224:F1271" si="40">(E1224/E1223)-1</f>
        <v>6.8519223448801903E-3</v>
      </c>
      <c r="H1224" s="179"/>
      <c r="R1224" s="199">
        <v>43397</v>
      </c>
      <c r="S1224" s="180">
        <v>4.2919999999999998</v>
      </c>
    </row>
    <row r="1225" spans="2:19">
      <c r="B1225" s="198">
        <v>45405</v>
      </c>
      <c r="C1225" s="178">
        <v>98644.15</v>
      </c>
      <c r="D1225">
        <f t="shared" si="39"/>
        <v>4.5450083219753523E-3</v>
      </c>
      <c r="E1225" s="179">
        <v>26.85</v>
      </c>
      <c r="F1225">
        <f t="shared" si="40"/>
        <v>1.5122873345935872E-2</v>
      </c>
      <c r="H1225" s="179"/>
      <c r="R1225" s="199">
        <v>43398</v>
      </c>
      <c r="S1225" s="180">
        <v>4.2919999999999998</v>
      </c>
    </row>
    <row r="1226" spans="2:19">
      <c r="B1226" s="198">
        <v>45406</v>
      </c>
      <c r="C1226" s="178">
        <v>98639.09</v>
      </c>
      <c r="D1226">
        <f t="shared" si="39"/>
        <v>-5.1295489899794156E-5</v>
      </c>
      <c r="E1226" s="179">
        <v>26.74</v>
      </c>
      <c r="F1226">
        <f t="shared" si="40"/>
        <v>-4.096834264432192E-3</v>
      </c>
      <c r="H1226" s="179"/>
      <c r="R1226" s="199">
        <v>43399</v>
      </c>
      <c r="S1226" s="180">
        <v>4.2919999999999998</v>
      </c>
    </row>
    <row r="1227" spans="2:19">
      <c r="B1227" s="198">
        <v>45408</v>
      </c>
      <c r="C1227" s="178">
        <v>97394.89</v>
      </c>
      <c r="D1227">
        <f t="shared" si="39"/>
        <v>-1.2613660568036478E-2</v>
      </c>
      <c r="E1227" s="179">
        <v>26.34</v>
      </c>
      <c r="F1227">
        <f t="shared" si="40"/>
        <v>-1.4958863126402377E-2</v>
      </c>
      <c r="H1227" s="179"/>
      <c r="R1227" s="199">
        <v>43402</v>
      </c>
      <c r="S1227" s="180">
        <v>4.2919999999999998</v>
      </c>
    </row>
    <row r="1228" spans="2:19">
      <c r="B1228" s="198">
        <v>45411</v>
      </c>
      <c r="C1228" s="178">
        <v>98255.39</v>
      </c>
      <c r="D1228">
        <f t="shared" si="39"/>
        <v>8.8351657874452538E-3</v>
      </c>
      <c r="E1228" s="179">
        <v>26.76</v>
      </c>
      <c r="F1228">
        <f t="shared" si="40"/>
        <v>1.5945330296127658E-2</v>
      </c>
      <c r="H1228" s="179"/>
      <c r="R1228" s="199">
        <v>43403</v>
      </c>
      <c r="S1228" s="180">
        <v>4.2919999999999998</v>
      </c>
    </row>
    <row r="1229" spans="2:19">
      <c r="B1229" s="198">
        <v>45412</v>
      </c>
      <c r="C1229" s="178">
        <v>98571.46</v>
      </c>
      <c r="D1229">
        <f t="shared" si="39"/>
        <v>3.2168209805081283E-3</v>
      </c>
      <c r="E1229" s="179">
        <v>26.77</v>
      </c>
      <c r="F1229">
        <f t="shared" si="40"/>
        <v>3.7369207772797175E-4</v>
      </c>
      <c r="H1229" s="179"/>
      <c r="R1229" s="199">
        <v>43404</v>
      </c>
      <c r="S1229" s="180">
        <v>4.2919999999999998</v>
      </c>
    </row>
    <row r="1230" spans="2:19">
      <c r="B1230" s="198">
        <v>45413</v>
      </c>
      <c r="C1230" s="178">
        <v>97326.45</v>
      </c>
      <c r="D1230">
        <f t="shared" si="39"/>
        <v>-1.263053220475796E-2</v>
      </c>
      <c r="E1230" s="179">
        <v>26.35</v>
      </c>
      <c r="F1230">
        <f t="shared" si="40"/>
        <v>-1.5689204333208751E-2</v>
      </c>
      <c r="H1230" s="179"/>
      <c r="R1230" s="199">
        <v>43405</v>
      </c>
      <c r="S1230" s="180">
        <v>4.2919999999999998</v>
      </c>
    </row>
    <row r="1231" spans="2:19">
      <c r="B1231" s="198">
        <v>45414</v>
      </c>
      <c r="C1231" s="178">
        <v>97548.85</v>
      </c>
      <c r="D1231">
        <f t="shared" si="39"/>
        <v>2.2850931067557312E-3</v>
      </c>
      <c r="E1231" s="179">
        <v>25.94</v>
      </c>
      <c r="F1231">
        <f t="shared" si="40"/>
        <v>-1.555977229601524E-2</v>
      </c>
      <c r="H1231" s="179"/>
      <c r="R1231" s="199">
        <v>43406</v>
      </c>
      <c r="S1231" s="180">
        <v>4.2919999999999998</v>
      </c>
    </row>
    <row r="1232" spans="2:19">
      <c r="B1232" s="198">
        <v>45415</v>
      </c>
      <c r="C1232" s="178">
        <v>98146.83</v>
      </c>
      <c r="D1232">
        <f t="shared" si="39"/>
        <v>6.1300568894455676E-3</v>
      </c>
      <c r="E1232" s="179">
        <v>26.12</v>
      </c>
      <c r="F1232">
        <f t="shared" si="40"/>
        <v>6.9390902081727379E-3</v>
      </c>
      <c r="H1232" s="179"/>
      <c r="R1232" s="199">
        <v>43409</v>
      </c>
      <c r="S1232" s="180">
        <v>4.2919999999999998</v>
      </c>
    </row>
    <row r="1233" spans="2:19">
      <c r="B1233" s="198">
        <v>45418</v>
      </c>
      <c r="C1233" s="178">
        <v>98827.13</v>
      </c>
      <c r="D1233">
        <f t="shared" si="39"/>
        <v>6.9314515812686217E-3</v>
      </c>
      <c r="E1233" s="179">
        <v>26.28</v>
      </c>
      <c r="F1233">
        <f t="shared" si="40"/>
        <v>6.1255742725880857E-3</v>
      </c>
      <c r="H1233" s="179"/>
      <c r="R1233" s="199">
        <v>43410</v>
      </c>
      <c r="S1233" s="180">
        <v>4.2919999999999998</v>
      </c>
    </row>
    <row r="1234" spans="2:19">
      <c r="B1234" s="198">
        <v>45419</v>
      </c>
      <c r="C1234" s="178">
        <v>100331.95</v>
      </c>
      <c r="D1234">
        <f t="shared" si="39"/>
        <v>1.5226790457235628E-2</v>
      </c>
      <c r="E1234" s="179">
        <v>26.62</v>
      </c>
      <c r="F1234">
        <f t="shared" si="40"/>
        <v>1.2937595129375978E-2</v>
      </c>
      <c r="H1234" s="179"/>
      <c r="R1234" s="199">
        <v>43411</v>
      </c>
      <c r="S1234" s="180">
        <v>4.2919999999999998</v>
      </c>
    </row>
    <row r="1235" spans="2:19">
      <c r="B1235" s="198">
        <v>45420</v>
      </c>
      <c r="C1235" s="178">
        <v>100478.97</v>
      </c>
      <c r="D1235">
        <f t="shared" si="39"/>
        <v>1.4653358177529885E-3</v>
      </c>
      <c r="E1235" s="179">
        <v>26.56</v>
      </c>
      <c r="F1235">
        <f t="shared" si="40"/>
        <v>-2.2539444027047661E-3</v>
      </c>
      <c r="H1235" s="179"/>
      <c r="R1235" s="199">
        <v>43412</v>
      </c>
      <c r="S1235" s="180">
        <v>4.2919999999999998</v>
      </c>
    </row>
    <row r="1236" spans="2:19">
      <c r="B1236" s="198">
        <v>45421</v>
      </c>
      <c r="C1236" s="178">
        <v>99552.31</v>
      </c>
      <c r="D1236">
        <f t="shared" si="39"/>
        <v>-9.2224273397707446E-3</v>
      </c>
      <c r="E1236" s="179">
        <v>26.6</v>
      </c>
      <c r="F1236">
        <f t="shared" si="40"/>
        <v>1.5060240963855609E-3</v>
      </c>
      <c r="H1236" s="179"/>
      <c r="R1236" s="199">
        <v>43413</v>
      </c>
      <c r="S1236" s="180">
        <v>4.2919999999999998</v>
      </c>
    </row>
    <row r="1237" spans="2:19">
      <c r="B1237" s="198">
        <v>45422</v>
      </c>
      <c r="C1237" s="178">
        <v>99906.35</v>
      </c>
      <c r="D1237">
        <f t="shared" si="39"/>
        <v>3.5563212948048761E-3</v>
      </c>
      <c r="E1237" s="179">
        <v>26.76</v>
      </c>
      <c r="F1237">
        <f t="shared" si="40"/>
        <v>6.0150375939849177E-3</v>
      </c>
      <c r="H1237" s="179"/>
      <c r="R1237" s="199">
        <v>43416</v>
      </c>
      <c r="S1237" s="180">
        <v>4.2919999999999998</v>
      </c>
    </row>
    <row r="1238" spans="2:19">
      <c r="B1238" s="198">
        <v>45425</v>
      </c>
      <c r="C1238" s="178">
        <v>100015.38</v>
      </c>
      <c r="D1238">
        <f t="shared" si="39"/>
        <v>1.0913220230746035E-3</v>
      </c>
      <c r="E1238" s="179">
        <v>27.02</v>
      </c>
      <c r="F1238">
        <f t="shared" si="40"/>
        <v>9.7159940209265994E-3</v>
      </c>
      <c r="H1238" s="179"/>
      <c r="R1238" s="199">
        <v>43417</v>
      </c>
      <c r="S1238" s="180">
        <v>4.2919999999999998</v>
      </c>
    </row>
    <row r="1239" spans="2:19">
      <c r="B1239" s="198">
        <v>45426</v>
      </c>
      <c r="C1239" s="178">
        <v>99721.13</v>
      </c>
      <c r="D1239">
        <f t="shared" si="39"/>
        <v>-2.9420475130924606E-3</v>
      </c>
      <c r="E1239" s="179">
        <v>27.62</v>
      </c>
      <c r="F1239">
        <f t="shared" si="40"/>
        <v>2.2205773501110304E-2</v>
      </c>
      <c r="H1239" s="179"/>
      <c r="R1239" s="199">
        <v>43418</v>
      </c>
      <c r="S1239" s="180">
        <v>4.2919999999999998</v>
      </c>
    </row>
    <row r="1240" spans="2:19">
      <c r="B1240" s="198">
        <v>45427</v>
      </c>
      <c r="C1240" s="178">
        <v>100035.45</v>
      </c>
      <c r="D1240">
        <f t="shared" si="39"/>
        <v>3.1519899543857033E-3</v>
      </c>
      <c r="E1240" s="179">
        <v>26.69</v>
      </c>
      <c r="F1240">
        <f t="shared" si="40"/>
        <v>-3.3671252715423594E-2</v>
      </c>
      <c r="H1240" s="179"/>
      <c r="R1240" s="199">
        <v>43419</v>
      </c>
      <c r="S1240" s="180">
        <v>4.2919999999999998</v>
      </c>
    </row>
    <row r="1241" spans="2:19">
      <c r="B1241" s="198">
        <v>45428</v>
      </c>
      <c r="C1241" s="178">
        <v>101647.7</v>
      </c>
      <c r="D1241">
        <f t="shared" si="39"/>
        <v>1.6116786599150501E-2</v>
      </c>
      <c r="E1241" s="179">
        <v>27.04</v>
      </c>
      <c r="F1241">
        <f t="shared" si="40"/>
        <v>1.311352566504298E-2</v>
      </c>
      <c r="H1241" s="179"/>
      <c r="R1241" s="199">
        <v>43420</v>
      </c>
      <c r="S1241" s="180">
        <v>4.2919999999999998</v>
      </c>
    </row>
    <row r="1242" spans="2:19">
      <c r="B1242" s="198">
        <v>45429</v>
      </c>
      <c r="C1242" s="178">
        <v>100803.16</v>
      </c>
      <c r="D1242">
        <f t="shared" si="39"/>
        <v>-8.3085008317944631E-3</v>
      </c>
      <c r="E1242" s="179">
        <v>26.63</v>
      </c>
      <c r="F1242">
        <f t="shared" si="40"/>
        <v>-1.5162721893491105E-2</v>
      </c>
      <c r="H1242" s="179"/>
      <c r="R1242" s="199">
        <v>43423</v>
      </c>
      <c r="S1242" s="180">
        <v>4.2919999999999998</v>
      </c>
    </row>
    <row r="1243" spans="2:19">
      <c r="B1243" s="198">
        <v>45432</v>
      </c>
      <c r="C1243" s="178">
        <v>101423.23</v>
      </c>
      <c r="D1243">
        <f t="shared" si="39"/>
        <v>6.1512952570137447E-3</v>
      </c>
      <c r="E1243" s="179">
        <v>26.61</v>
      </c>
      <c r="F1243">
        <f t="shared" si="40"/>
        <v>-7.5103266992115891E-4</v>
      </c>
      <c r="H1243" s="179"/>
      <c r="R1243" s="199">
        <v>43424</v>
      </c>
      <c r="S1243" s="180">
        <v>4.2919999999999998</v>
      </c>
    </row>
    <row r="1244" spans="2:19">
      <c r="B1244" s="198">
        <v>45433</v>
      </c>
      <c r="C1244" s="178">
        <v>101279.37</v>
      </c>
      <c r="D1244">
        <f t="shared" si="39"/>
        <v>-1.4184127245799871E-3</v>
      </c>
      <c r="E1244" s="179">
        <v>25.01</v>
      </c>
      <c r="F1244">
        <f t="shared" si="40"/>
        <v>-6.0127771514468131E-2</v>
      </c>
      <c r="H1244" s="179"/>
      <c r="R1244" s="199">
        <v>43425</v>
      </c>
      <c r="S1244" s="180">
        <v>4.2919999999999998</v>
      </c>
    </row>
    <row r="1245" spans="2:19">
      <c r="B1245" s="198">
        <v>45434</v>
      </c>
      <c r="C1245" s="178">
        <v>101255.92</v>
      </c>
      <c r="D1245">
        <f t="shared" si="39"/>
        <v>-2.315377751658243E-4</v>
      </c>
      <c r="E1245" s="179">
        <v>24.55</v>
      </c>
      <c r="F1245">
        <f t="shared" si="40"/>
        <v>-1.8392642942822945E-2</v>
      </c>
      <c r="H1245" s="179"/>
      <c r="R1245" s="199">
        <v>43426</v>
      </c>
      <c r="S1245" s="180">
        <v>4.2919999999999998</v>
      </c>
    </row>
    <row r="1246" spans="2:19">
      <c r="B1246" s="198">
        <v>45435</v>
      </c>
      <c r="C1246" s="178">
        <v>100828.9</v>
      </c>
      <c r="D1246">
        <f t="shared" si="39"/>
        <v>-4.2172349034012013E-3</v>
      </c>
      <c r="E1246" s="179">
        <v>25.44</v>
      </c>
      <c r="F1246">
        <f t="shared" si="40"/>
        <v>3.6252545824847271E-2</v>
      </c>
      <c r="H1246" s="179"/>
      <c r="R1246" s="199">
        <v>43427</v>
      </c>
      <c r="S1246" s="180">
        <v>4.2919999999999998</v>
      </c>
    </row>
    <row r="1247" spans="2:19">
      <c r="B1247" s="198">
        <v>45436</v>
      </c>
      <c r="C1247" s="178">
        <v>99781.9</v>
      </c>
      <c r="D1247">
        <f t="shared" si="39"/>
        <v>-1.038392762392526E-2</v>
      </c>
      <c r="E1247" s="179">
        <v>24.68</v>
      </c>
      <c r="F1247">
        <f t="shared" si="40"/>
        <v>-2.9874213836478036E-2</v>
      </c>
      <c r="H1247" s="179"/>
      <c r="R1247" s="199">
        <v>43430</v>
      </c>
      <c r="S1247" s="180">
        <v>4.2919999999999998</v>
      </c>
    </row>
    <row r="1248" spans="2:19">
      <c r="B1248" s="198">
        <v>45439</v>
      </c>
      <c r="C1248" s="178">
        <v>100524.01</v>
      </c>
      <c r="D1248">
        <f t="shared" si="39"/>
        <v>7.4373207966575983E-3</v>
      </c>
      <c r="E1248" s="179">
        <v>24.48</v>
      </c>
      <c r="F1248">
        <f t="shared" si="40"/>
        <v>-8.1037277147487652E-3</v>
      </c>
      <c r="H1248" s="179"/>
      <c r="R1248" s="199">
        <v>43431</v>
      </c>
      <c r="S1248" s="180">
        <v>4.2919999999999998</v>
      </c>
    </row>
    <row r="1249" spans="2:19">
      <c r="B1249" s="198">
        <v>45440</v>
      </c>
      <c r="C1249" s="178">
        <v>100229.4</v>
      </c>
      <c r="D1249">
        <f t="shared" si="39"/>
        <v>-2.9307426156198746E-3</v>
      </c>
      <c r="E1249" s="179">
        <v>24.18</v>
      </c>
      <c r="F1249">
        <f t="shared" si="40"/>
        <v>-1.2254901960784381E-2</v>
      </c>
      <c r="H1249" s="179"/>
      <c r="R1249" s="199">
        <v>43432</v>
      </c>
      <c r="S1249" s="180">
        <v>4.2919999999999998</v>
      </c>
    </row>
    <row r="1250" spans="2:19">
      <c r="B1250" s="198">
        <v>45441</v>
      </c>
      <c r="C1250" s="178">
        <v>98992.73</v>
      </c>
      <c r="D1250">
        <f t="shared" si="39"/>
        <v>-1.2338395720217776E-2</v>
      </c>
      <c r="E1250" s="179">
        <v>24.1</v>
      </c>
      <c r="F1250">
        <f t="shared" si="40"/>
        <v>-3.3085194375516158E-3</v>
      </c>
      <c r="H1250" s="179"/>
      <c r="R1250" s="199">
        <v>43433</v>
      </c>
      <c r="S1250" s="180">
        <v>4.2919999999999998</v>
      </c>
    </row>
    <row r="1251" spans="2:19">
      <c r="B1251" s="198">
        <v>45442</v>
      </c>
      <c r="C1251" s="178">
        <v>98496.9</v>
      </c>
      <c r="D1251">
        <f t="shared" si="39"/>
        <v>-5.0087516527729248E-3</v>
      </c>
      <c r="E1251" s="179">
        <v>24</v>
      </c>
      <c r="F1251">
        <f t="shared" si="40"/>
        <v>-4.1493775933610921E-3</v>
      </c>
      <c r="H1251" s="179"/>
      <c r="R1251" s="199">
        <v>43434</v>
      </c>
      <c r="S1251" s="180">
        <v>4.2919999999999998</v>
      </c>
    </row>
    <row r="1252" spans="2:19">
      <c r="B1252" s="198">
        <v>45443</v>
      </c>
      <c r="C1252" s="178">
        <v>99431.12</v>
      </c>
      <c r="D1252">
        <f t="shared" si="39"/>
        <v>9.4847655103866835E-3</v>
      </c>
      <c r="E1252" s="179">
        <v>24.33</v>
      </c>
      <c r="F1252">
        <f t="shared" si="40"/>
        <v>1.3749999999999929E-2</v>
      </c>
      <c r="H1252" s="179"/>
      <c r="R1252" s="199">
        <v>43437</v>
      </c>
      <c r="S1252" s="180">
        <v>4.2919999999999998</v>
      </c>
    </row>
    <row r="1253" spans="2:19">
      <c r="B1253" s="198">
        <v>45446</v>
      </c>
      <c r="C1253" s="178">
        <v>100098.36</v>
      </c>
      <c r="D1253">
        <f t="shared" si="39"/>
        <v>6.7105751197411578E-3</v>
      </c>
      <c r="E1253" s="179">
        <v>24.17</v>
      </c>
      <c r="F1253">
        <f t="shared" si="40"/>
        <v>-6.576243321002706E-3</v>
      </c>
      <c r="H1253" s="179"/>
      <c r="R1253" s="199">
        <v>43438</v>
      </c>
      <c r="S1253" s="180">
        <v>4.2919999999999998</v>
      </c>
    </row>
    <row r="1254" spans="2:19">
      <c r="B1254" s="198">
        <v>45447</v>
      </c>
      <c r="C1254" s="178">
        <v>99725.1</v>
      </c>
      <c r="D1254">
        <f t="shared" si="39"/>
        <v>-3.7289322222661125E-3</v>
      </c>
      <c r="E1254" s="179">
        <v>24.04</v>
      </c>
      <c r="F1254">
        <f t="shared" si="40"/>
        <v>-5.3785684733140826E-3</v>
      </c>
      <c r="H1254" s="179"/>
      <c r="R1254" s="199">
        <v>43439</v>
      </c>
      <c r="S1254" s="180">
        <v>4.2919999999999998</v>
      </c>
    </row>
    <row r="1255" spans="2:19">
      <c r="B1255" s="198">
        <v>45448</v>
      </c>
      <c r="C1255" s="178">
        <v>100075.96</v>
      </c>
      <c r="D1255">
        <f t="shared" si="39"/>
        <v>3.5182717289830023E-3</v>
      </c>
      <c r="E1255" s="179">
        <v>24.36</v>
      </c>
      <c r="F1255">
        <f t="shared" si="40"/>
        <v>1.3311148086522451E-2</v>
      </c>
      <c r="H1255" s="179"/>
      <c r="R1255" s="199">
        <v>43440</v>
      </c>
      <c r="S1255" s="180">
        <v>4.2919999999999998</v>
      </c>
    </row>
    <row r="1256" spans="2:19">
      <c r="B1256" s="198">
        <v>45449</v>
      </c>
      <c r="C1256" s="178">
        <v>100725.42</v>
      </c>
      <c r="D1256">
        <f t="shared" si="39"/>
        <v>6.4896704463288657E-3</v>
      </c>
      <c r="E1256" s="179">
        <v>24.72</v>
      </c>
      <c r="F1256">
        <f t="shared" si="40"/>
        <v>1.477832512315258E-2</v>
      </c>
      <c r="H1256" s="179"/>
      <c r="R1256" s="199">
        <v>43441</v>
      </c>
      <c r="S1256" s="180">
        <v>4.2919999999999998</v>
      </c>
    </row>
    <row r="1257" spans="2:19">
      <c r="B1257" s="198">
        <v>45450</v>
      </c>
      <c r="C1257" s="178">
        <v>101205.99</v>
      </c>
      <c r="D1257">
        <f t="shared" si="39"/>
        <v>4.771089562098707E-3</v>
      </c>
      <c r="E1257" s="179">
        <v>24.98</v>
      </c>
      <c r="F1257">
        <f t="shared" si="40"/>
        <v>1.0517799352750767E-2</v>
      </c>
      <c r="H1257" s="179"/>
      <c r="R1257" s="199">
        <v>43444</v>
      </c>
      <c r="S1257" s="180">
        <v>4.2919999999999998</v>
      </c>
    </row>
    <row r="1258" spans="2:19">
      <c r="B1258" s="198">
        <v>45454</v>
      </c>
      <c r="C1258" s="178">
        <v>99872.1</v>
      </c>
      <c r="D1258">
        <f t="shared" si="39"/>
        <v>-1.3179951107637033E-2</v>
      </c>
      <c r="E1258" s="179">
        <v>24.84</v>
      </c>
      <c r="F1258">
        <f t="shared" si="40"/>
        <v>-5.6044835868694909E-3</v>
      </c>
      <c r="H1258" s="179"/>
      <c r="R1258" s="199">
        <v>43445</v>
      </c>
      <c r="S1258" s="180">
        <v>4.2919999999999998</v>
      </c>
    </row>
    <row r="1259" spans="2:19">
      <c r="B1259" s="198">
        <v>45455</v>
      </c>
      <c r="C1259" s="178">
        <v>99341.65</v>
      </c>
      <c r="D1259">
        <f t="shared" si="39"/>
        <v>-5.311293143931195E-3</v>
      </c>
      <c r="E1259" s="179">
        <v>25</v>
      </c>
      <c r="F1259">
        <f t="shared" si="40"/>
        <v>6.441223832528209E-3</v>
      </c>
      <c r="H1259" s="179"/>
      <c r="R1259" s="199">
        <v>43446</v>
      </c>
      <c r="S1259" s="180">
        <v>4.2919999999999998</v>
      </c>
    </row>
    <row r="1260" spans="2:19">
      <c r="B1260" s="198">
        <v>45456</v>
      </c>
      <c r="C1260" s="178">
        <v>99838.14</v>
      </c>
      <c r="D1260">
        <f t="shared" si="39"/>
        <v>4.9978030362893833E-3</v>
      </c>
      <c r="E1260" s="179">
        <v>25.25</v>
      </c>
      <c r="F1260">
        <f t="shared" si="40"/>
        <v>1.0000000000000009E-2</v>
      </c>
      <c r="H1260" s="179"/>
      <c r="R1260" s="199">
        <v>43447</v>
      </c>
      <c r="S1260" s="180">
        <v>4.2919999999999998</v>
      </c>
    </row>
    <row r="1261" spans="2:19">
      <c r="B1261" s="198">
        <v>45457</v>
      </c>
      <c r="C1261" s="178">
        <v>99493.07</v>
      </c>
      <c r="D1261">
        <f t="shared" si="39"/>
        <v>-3.45629435804784E-3</v>
      </c>
      <c r="E1261" s="179">
        <v>25.34</v>
      </c>
      <c r="F1261">
        <f t="shared" si="40"/>
        <v>3.5643564356435675E-3</v>
      </c>
      <c r="H1261" s="179"/>
      <c r="R1261" s="199">
        <v>43448</v>
      </c>
      <c r="S1261" s="180">
        <v>4.2919999999999998</v>
      </c>
    </row>
    <row r="1262" spans="2:19">
      <c r="B1262" s="198">
        <v>45460</v>
      </c>
      <c r="C1262" s="178">
        <v>99103.58</v>
      </c>
      <c r="D1262">
        <f t="shared" si="39"/>
        <v>-3.914745016914245E-3</v>
      </c>
      <c r="E1262" s="179">
        <v>25.81</v>
      </c>
      <c r="F1262">
        <f t="shared" si="40"/>
        <v>1.8547750591949352E-2</v>
      </c>
      <c r="H1262" s="179"/>
      <c r="R1262" s="199">
        <v>43451</v>
      </c>
      <c r="S1262" s="180">
        <v>4.2919999999999998</v>
      </c>
    </row>
    <row r="1263" spans="2:19">
      <c r="B1263" s="198">
        <v>45461</v>
      </c>
      <c r="C1263" s="178">
        <v>100007.92</v>
      </c>
      <c r="D1263">
        <f t="shared" si="39"/>
        <v>9.1252001189059406E-3</v>
      </c>
      <c r="E1263" s="179">
        <v>26.39</v>
      </c>
      <c r="F1263">
        <f t="shared" si="40"/>
        <v>2.2471910112359605E-2</v>
      </c>
      <c r="H1263" s="179"/>
      <c r="R1263" s="199">
        <v>43452</v>
      </c>
      <c r="S1263" s="180">
        <v>4.2919999999999998</v>
      </c>
    </row>
    <row r="1264" spans="2:19">
      <c r="B1264" s="198">
        <v>45462</v>
      </c>
      <c r="C1264" s="178">
        <v>99942.58</v>
      </c>
      <c r="D1264">
        <f t="shared" si="39"/>
        <v>-6.5334825481822012E-4</v>
      </c>
      <c r="E1264" s="179">
        <v>26.61</v>
      </c>
      <c r="F1264">
        <f t="shared" si="40"/>
        <v>8.3364910951118087E-3</v>
      </c>
      <c r="H1264" s="179"/>
      <c r="R1264" s="199">
        <v>43453</v>
      </c>
      <c r="S1264" s="180">
        <v>4.2919999999999998</v>
      </c>
    </row>
    <row r="1265" spans="2:19">
      <c r="B1265" s="198">
        <v>45463</v>
      </c>
      <c r="C1265" s="178">
        <v>99962.54</v>
      </c>
      <c r="D1265">
        <f t="shared" si="39"/>
        <v>1.9971467616697325E-4</v>
      </c>
      <c r="E1265" s="179">
        <v>26.72</v>
      </c>
      <c r="F1265">
        <f t="shared" si="40"/>
        <v>4.133784291619591E-3</v>
      </c>
      <c r="H1265" s="179"/>
      <c r="R1265" s="199">
        <v>43454</v>
      </c>
      <c r="S1265" s="180">
        <v>4.2919999999999998</v>
      </c>
    </row>
    <row r="1266" spans="2:19">
      <c r="B1266" s="198">
        <v>45464</v>
      </c>
      <c r="C1266" s="178">
        <v>100309.26</v>
      </c>
      <c r="D1266">
        <f t="shared" si="39"/>
        <v>3.468499299837724E-3</v>
      </c>
      <c r="E1266" s="179">
        <v>27.15</v>
      </c>
      <c r="F1266">
        <f t="shared" si="40"/>
        <v>1.6092814371257536E-2</v>
      </c>
      <c r="H1266" s="179"/>
      <c r="R1266" s="199">
        <v>43455</v>
      </c>
      <c r="S1266" s="180">
        <v>4.2919999999999998</v>
      </c>
    </row>
    <row r="1267" spans="2:19">
      <c r="B1267" s="198">
        <v>45467</v>
      </c>
      <c r="C1267" s="178">
        <v>99500.31</v>
      </c>
      <c r="D1267">
        <f t="shared" si="39"/>
        <v>-8.0645595431567685E-3</v>
      </c>
      <c r="E1267" s="179">
        <v>26.54</v>
      </c>
      <c r="F1267">
        <f t="shared" si="40"/>
        <v>-2.2467771639042344E-2</v>
      </c>
      <c r="H1267" s="179"/>
      <c r="R1267" s="199">
        <v>43458</v>
      </c>
      <c r="S1267" s="180">
        <v>4.2919999999999998</v>
      </c>
    </row>
    <row r="1268" spans="2:19">
      <c r="B1268" s="198">
        <v>45468</v>
      </c>
      <c r="C1268" s="178">
        <v>100770.92</v>
      </c>
      <c r="D1268">
        <f t="shared" si="39"/>
        <v>1.2769909963094683E-2</v>
      </c>
      <c r="E1268" s="179">
        <v>26.74</v>
      </c>
      <c r="F1268">
        <f t="shared" si="40"/>
        <v>7.5357950263752471E-3</v>
      </c>
      <c r="H1268" s="179"/>
      <c r="R1268" s="199">
        <v>43461</v>
      </c>
      <c r="S1268" s="180">
        <v>4.2919999999999998</v>
      </c>
    </row>
    <row r="1269" spans="2:19">
      <c r="B1269" s="198">
        <v>45469</v>
      </c>
      <c r="C1269" s="178">
        <v>100098.62</v>
      </c>
      <c r="D1269">
        <f t="shared" si="39"/>
        <v>-6.6715675514325001E-3</v>
      </c>
      <c r="E1269" s="179">
        <v>26.25</v>
      </c>
      <c r="F1269">
        <f t="shared" si="40"/>
        <v>-1.8324607329842868E-2</v>
      </c>
      <c r="H1269" s="179"/>
      <c r="R1269" s="199">
        <v>43462</v>
      </c>
      <c r="S1269" s="180">
        <v>4.2919999999999998</v>
      </c>
    </row>
    <row r="1270" spans="2:19">
      <c r="B1270" s="198">
        <v>45470</v>
      </c>
      <c r="C1270" s="178">
        <v>99984.38</v>
      </c>
      <c r="D1270">
        <f t="shared" si="39"/>
        <v>-1.1412744751125858E-3</v>
      </c>
      <c r="E1270" s="179">
        <v>26.37</v>
      </c>
      <c r="F1270">
        <f t="shared" si="40"/>
        <v>4.5714285714286707E-3</v>
      </c>
      <c r="H1270" s="179"/>
      <c r="R1270" s="199">
        <v>43465</v>
      </c>
      <c r="S1270" s="180">
        <v>4.2919999999999998</v>
      </c>
    </row>
    <row r="1271" spans="2:19">
      <c r="B1271" s="198">
        <v>45471</v>
      </c>
      <c r="C1271" s="178">
        <v>100125.06</v>
      </c>
      <c r="D1271">
        <f t="shared" si="39"/>
        <v>1.4070197764890491E-3</v>
      </c>
      <c r="E1271" s="179">
        <v>26.3</v>
      </c>
      <c r="F1271">
        <f t="shared" si="40"/>
        <v>-2.6545316647705874E-3</v>
      </c>
      <c r="H1271" s="179"/>
      <c r="R1271" s="199">
        <v>43467</v>
      </c>
      <c r="S1271" s="180">
        <v>4.2919999999999998</v>
      </c>
    </row>
    <row r="1272" spans="2:19">
      <c r="B1272" s="176"/>
      <c r="C1272" s="178"/>
      <c r="R1272" s="199">
        <v>43468</v>
      </c>
      <c r="S1272" s="180">
        <v>4.2919999999999998</v>
      </c>
    </row>
    <row r="1273" spans="2:19">
      <c r="B1273" s="176"/>
      <c r="C1273" s="178"/>
      <c r="R1273" s="199">
        <v>43469</v>
      </c>
      <c r="S1273" s="180">
        <v>4.2919999999999998</v>
      </c>
    </row>
    <row r="1274" spans="2:19">
      <c r="B1274" s="176"/>
      <c r="C1274" s="178"/>
      <c r="R1274" s="199">
        <v>43472</v>
      </c>
      <c r="S1274" s="180">
        <v>4.2919999999999998</v>
      </c>
    </row>
    <row r="1275" spans="2:19">
      <c r="B1275" s="176"/>
      <c r="C1275" s="178"/>
      <c r="R1275" s="199">
        <v>43473</v>
      </c>
      <c r="S1275" s="180">
        <v>4.2919999999999998</v>
      </c>
    </row>
    <row r="1276" spans="2:19">
      <c r="B1276" s="176"/>
      <c r="C1276" s="178"/>
      <c r="R1276" s="199">
        <v>43474</v>
      </c>
      <c r="S1276" s="180">
        <v>4.2919999999999998</v>
      </c>
    </row>
    <row r="1277" spans="2:19">
      <c r="B1277" s="176"/>
      <c r="C1277" s="178"/>
      <c r="R1277" s="199">
        <v>43475</v>
      </c>
      <c r="S1277" s="180">
        <v>4.2919999999999998</v>
      </c>
    </row>
    <row r="1278" spans="2:19">
      <c r="B1278" s="176"/>
      <c r="C1278" s="178"/>
      <c r="R1278" s="199">
        <v>43476</v>
      </c>
      <c r="S1278" s="180">
        <v>4.2919999999999998</v>
      </c>
    </row>
    <row r="1279" spans="2:19">
      <c r="B1279" s="176"/>
      <c r="C1279" s="178"/>
      <c r="R1279" s="199">
        <v>43479</v>
      </c>
      <c r="S1279" s="180">
        <v>4.2919999999999998</v>
      </c>
    </row>
    <row r="1280" spans="2:19">
      <c r="B1280" s="176"/>
      <c r="C1280" s="178"/>
      <c r="R1280" s="199">
        <v>43480</v>
      </c>
      <c r="S1280" s="180">
        <v>4.2919999999999998</v>
      </c>
    </row>
    <row r="1281" spans="2:19">
      <c r="B1281" s="176"/>
      <c r="C1281" s="178"/>
      <c r="R1281" s="199">
        <v>43481</v>
      </c>
      <c r="S1281" s="180">
        <v>4.2919999999999998</v>
      </c>
    </row>
    <row r="1282" spans="2:19">
      <c r="B1282" s="176"/>
      <c r="C1282" s="178"/>
      <c r="R1282" s="199">
        <v>43482</v>
      </c>
      <c r="S1282" s="180">
        <v>4.2919999999999998</v>
      </c>
    </row>
    <row r="1283" spans="2:19">
      <c r="B1283" s="176"/>
      <c r="C1283" s="178"/>
      <c r="R1283" s="199">
        <v>43483</v>
      </c>
      <c r="S1283" s="180">
        <v>4.2919999999999998</v>
      </c>
    </row>
    <row r="1284" spans="2:19">
      <c r="B1284" s="176"/>
      <c r="C1284" s="178"/>
      <c r="R1284" s="199">
        <v>43486</v>
      </c>
      <c r="S1284" s="180">
        <v>4.2919999999999998</v>
      </c>
    </row>
    <row r="1285" spans="2:19">
      <c r="B1285" s="176"/>
      <c r="C1285" s="178"/>
      <c r="R1285" s="199">
        <v>43487</v>
      </c>
      <c r="S1285" s="180">
        <v>4.2919999999999998</v>
      </c>
    </row>
    <row r="1286" spans="2:19">
      <c r="B1286" s="176"/>
      <c r="C1286" s="178"/>
      <c r="R1286" s="199">
        <v>43488</v>
      </c>
      <c r="S1286" s="180">
        <v>4.2919999999999998</v>
      </c>
    </row>
    <row r="1287" spans="2:19">
      <c r="B1287" s="176"/>
      <c r="C1287" s="178"/>
      <c r="R1287" s="199">
        <v>43489</v>
      </c>
      <c r="S1287" s="180">
        <v>4.2919999999999998</v>
      </c>
    </row>
    <row r="1288" spans="2:19">
      <c r="B1288" s="176"/>
      <c r="C1288" s="178"/>
      <c r="R1288" s="199">
        <v>43490</v>
      </c>
      <c r="S1288" s="180">
        <v>4.2919999999999998</v>
      </c>
    </row>
    <row r="1289" spans="2:19">
      <c r="B1289" s="176"/>
      <c r="C1289" s="178"/>
      <c r="R1289" s="199">
        <v>43494</v>
      </c>
      <c r="S1289" s="180">
        <v>4.2919999999999998</v>
      </c>
    </row>
    <row r="1290" spans="2:19">
      <c r="B1290" s="176"/>
      <c r="C1290" s="178"/>
      <c r="R1290" s="199">
        <v>43495</v>
      </c>
      <c r="S1290" s="180">
        <v>4.2919999999999998</v>
      </c>
    </row>
    <row r="1291" spans="2:19">
      <c r="B1291" s="176"/>
      <c r="C1291" s="178"/>
      <c r="R1291" s="199">
        <v>43496</v>
      </c>
      <c r="S1291" s="180">
        <v>4.2919999999999998</v>
      </c>
    </row>
    <row r="1292" spans="2:19">
      <c r="B1292" s="176"/>
      <c r="C1292" s="178"/>
      <c r="R1292" s="199">
        <v>43497</v>
      </c>
      <c r="S1292" s="180">
        <v>4.2919999999999998</v>
      </c>
    </row>
    <row r="1293" spans="2:19">
      <c r="B1293" s="176"/>
      <c r="C1293" s="178"/>
      <c r="R1293" s="199">
        <v>43500</v>
      </c>
      <c r="S1293" s="180">
        <v>4.2919999999999998</v>
      </c>
    </row>
    <row r="1294" spans="2:19">
      <c r="B1294" s="176"/>
      <c r="C1294" s="178"/>
      <c r="R1294" s="199">
        <v>43501</v>
      </c>
      <c r="S1294" s="180">
        <v>4.2919999999999998</v>
      </c>
    </row>
    <row r="1295" spans="2:19">
      <c r="R1295" s="199">
        <v>43502</v>
      </c>
      <c r="S1295" s="180">
        <v>4.2919999999999998</v>
      </c>
    </row>
    <row r="1296" spans="2:19">
      <c r="R1296" s="199">
        <v>43503</v>
      </c>
      <c r="S1296" s="180">
        <v>4.2919999999999998</v>
      </c>
    </row>
    <row r="1297" spans="18:19">
      <c r="R1297" s="199">
        <v>43504</v>
      </c>
      <c r="S1297" s="180">
        <v>4.2919999999999998</v>
      </c>
    </row>
    <row r="1298" spans="18:19">
      <c r="R1298" s="199">
        <v>43507</v>
      </c>
      <c r="S1298" s="180">
        <v>4.2919999999999998</v>
      </c>
    </row>
    <row r="1299" spans="18:19">
      <c r="R1299" s="199">
        <v>43508</v>
      </c>
      <c r="S1299" s="180">
        <v>4.2919999999999998</v>
      </c>
    </row>
    <row r="1300" spans="18:19">
      <c r="R1300" s="199">
        <v>43509</v>
      </c>
      <c r="S1300" s="180">
        <v>4.2919999999999998</v>
      </c>
    </row>
    <row r="1301" spans="18:19">
      <c r="R1301" s="199">
        <v>43510</v>
      </c>
      <c r="S1301" s="180">
        <v>4.2919999999999998</v>
      </c>
    </row>
    <row r="1302" spans="18:19">
      <c r="R1302" s="199">
        <v>43511</v>
      </c>
      <c r="S1302" s="180">
        <v>4.2919999999999998</v>
      </c>
    </row>
    <row r="1303" spans="18:19">
      <c r="R1303" s="199">
        <v>43514</v>
      </c>
      <c r="S1303" s="180">
        <v>4.2919999999999998</v>
      </c>
    </row>
    <row r="1304" spans="18:19">
      <c r="R1304" s="199">
        <v>43515</v>
      </c>
      <c r="S1304" s="180">
        <v>4.2919999999999998</v>
      </c>
    </row>
    <row r="1305" spans="18:19">
      <c r="R1305" s="199">
        <v>43516</v>
      </c>
      <c r="S1305" s="180">
        <v>4.2919999999999998</v>
      </c>
    </row>
    <row r="1306" spans="18:19">
      <c r="R1306" s="199">
        <v>43517</v>
      </c>
      <c r="S1306" s="180">
        <v>4.2919999999999998</v>
      </c>
    </row>
    <row r="1307" spans="18:19">
      <c r="R1307" s="199">
        <v>43518</v>
      </c>
      <c r="S1307" s="180">
        <v>4.2919999999999998</v>
      </c>
    </row>
    <row r="1308" spans="18:19">
      <c r="R1308" s="199">
        <v>43521</v>
      </c>
      <c r="S1308" s="180">
        <v>4.2919999999999998</v>
      </c>
    </row>
    <row r="1309" spans="18:19">
      <c r="R1309" s="199">
        <v>43522</v>
      </c>
      <c r="S1309" s="180">
        <v>4.2919999999999998</v>
      </c>
    </row>
    <row r="1310" spans="18:19">
      <c r="R1310" s="199">
        <v>43523</v>
      </c>
      <c r="S1310" s="180">
        <v>4.2919999999999998</v>
      </c>
    </row>
    <row r="1311" spans="18:19">
      <c r="R1311" s="199">
        <v>43524</v>
      </c>
      <c r="S1311" s="180">
        <v>4.2919999999999998</v>
      </c>
    </row>
    <row r="1312" spans="18:19">
      <c r="R1312" s="199">
        <v>43525</v>
      </c>
      <c r="S1312" s="180">
        <v>4.2919999999999998</v>
      </c>
    </row>
    <row r="1313" spans="18:19">
      <c r="R1313" s="199">
        <v>43528</v>
      </c>
      <c r="S1313" s="180">
        <v>4.2919999999999998</v>
      </c>
    </row>
    <row r="1314" spans="18:19">
      <c r="R1314" s="199">
        <v>43529</v>
      </c>
      <c r="S1314" s="180">
        <v>4.2919999999999998</v>
      </c>
    </row>
    <row r="1315" spans="18:19">
      <c r="R1315" s="199">
        <v>43530</v>
      </c>
      <c r="S1315" s="180">
        <v>4.2919999999999998</v>
      </c>
    </row>
    <row r="1316" spans="18:19">
      <c r="R1316" s="199">
        <v>43531</v>
      </c>
      <c r="S1316" s="180">
        <v>4.2919999999999998</v>
      </c>
    </row>
    <row r="1317" spans="18:19">
      <c r="R1317" s="199">
        <v>43532</v>
      </c>
      <c r="S1317" s="180">
        <v>4.2919999999999998</v>
      </c>
    </row>
    <row r="1318" spans="18:19">
      <c r="R1318" s="199">
        <v>43535</v>
      </c>
      <c r="S1318" s="180">
        <v>4.2919999999999998</v>
      </c>
    </row>
    <row r="1319" spans="18:19">
      <c r="R1319" s="199">
        <v>43536</v>
      </c>
      <c r="S1319" s="180">
        <v>4.2919999999999998</v>
      </c>
    </row>
    <row r="1320" spans="18:19">
      <c r="R1320" s="199">
        <v>43537</v>
      </c>
      <c r="S1320" s="180">
        <v>4.2919999999999998</v>
      </c>
    </row>
    <row r="1321" spans="18:19">
      <c r="R1321" s="199">
        <v>43538</v>
      </c>
      <c r="S1321" s="180">
        <v>4.2919999999999998</v>
      </c>
    </row>
    <row r="1322" spans="18:19">
      <c r="R1322" s="199">
        <v>43539</v>
      </c>
      <c r="S1322" s="180">
        <v>4.2919999999999998</v>
      </c>
    </row>
    <row r="1323" spans="18:19">
      <c r="R1323" s="199">
        <v>43542</v>
      </c>
      <c r="S1323" s="180">
        <v>4.2919999999999998</v>
      </c>
    </row>
    <row r="1324" spans="18:19">
      <c r="R1324" s="199">
        <v>43543</v>
      </c>
      <c r="S1324" s="180">
        <v>4.2919999999999998</v>
      </c>
    </row>
    <row r="1325" spans="18:19">
      <c r="R1325" s="199">
        <v>43544</v>
      </c>
      <c r="S1325" s="180">
        <v>4.2919999999999998</v>
      </c>
    </row>
    <row r="1326" spans="18:19">
      <c r="R1326" s="199">
        <v>43545</v>
      </c>
      <c r="S1326" s="180">
        <v>4.2919999999999998</v>
      </c>
    </row>
    <row r="1327" spans="18:19">
      <c r="R1327" s="199">
        <v>43546</v>
      </c>
      <c r="S1327" s="180">
        <v>4.2919999999999998</v>
      </c>
    </row>
    <row r="1328" spans="18:19">
      <c r="R1328" s="199">
        <v>43549</v>
      </c>
      <c r="S1328" s="180">
        <v>4.2919999999999998</v>
      </c>
    </row>
    <row r="1329" spans="18:19">
      <c r="R1329" s="199">
        <v>43550</v>
      </c>
      <c r="S1329" s="180">
        <v>4.2919999999999998</v>
      </c>
    </row>
    <row r="1330" spans="18:19">
      <c r="R1330" s="199">
        <v>43551</v>
      </c>
      <c r="S1330" s="180">
        <v>4.2919999999999998</v>
      </c>
    </row>
    <row r="1331" spans="18:19">
      <c r="R1331" s="199">
        <v>43552</v>
      </c>
      <c r="S1331" s="180">
        <v>4.2919999999999998</v>
      </c>
    </row>
    <row r="1332" spans="18:19">
      <c r="R1332" s="199">
        <v>43553</v>
      </c>
      <c r="S1332" s="180">
        <v>4.2919999999999998</v>
      </c>
    </row>
    <row r="1333" spans="18:19">
      <c r="R1333" s="199">
        <v>43556</v>
      </c>
      <c r="S1333" s="180">
        <v>4.2919999999999998</v>
      </c>
    </row>
    <row r="1334" spans="18:19">
      <c r="R1334" s="199">
        <v>43557</v>
      </c>
      <c r="S1334" s="180">
        <v>4.2919999999999998</v>
      </c>
    </row>
    <row r="1335" spans="18:19">
      <c r="R1335" s="199">
        <v>43558</v>
      </c>
      <c r="S1335" s="180">
        <v>4.2919999999999998</v>
      </c>
    </row>
    <row r="1336" spans="18:19">
      <c r="R1336" s="199">
        <v>43559</v>
      </c>
      <c r="S1336" s="180">
        <v>4.2919999999999998</v>
      </c>
    </row>
    <row r="1337" spans="18:19">
      <c r="R1337" s="199">
        <v>43560</v>
      </c>
      <c r="S1337" s="180">
        <v>4.2919999999999998</v>
      </c>
    </row>
    <row r="1338" spans="18:19">
      <c r="R1338" s="199">
        <v>43563</v>
      </c>
      <c r="S1338" s="180">
        <v>4.2919999999999998</v>
      </c>
    </row>
    <row r="1339" spans="18:19">
      <c r="R1339" s="199">
        <v>43564</v>
      </c>
      <c r="S1339" s="180">
        <v>4.2919999999999998</v>
      </c>
    </row>
    <row r="1340" spans="18:19">
      <c r="R1340" s="199">
        <v>43565</v>
      </c>
      <c r="S1340" s="180">
        <v>4.2919999999999998</v>
      </c>
    </row>
    <row r="1341" spans="18:19">
      <c r="R1341" s="199">
        <v>43566</v>
      </c>
      <c r="S1341" s="180">
        <v>4.2919999999999998</v>
      </c>
    </row>
    <row r="1342" spans="18:19">
      <c r="R1342" s="199">
        <v>43567</v>
      </c>
      <c r="S1342" s="180">
        <v>4.2919999999999998</v>
      </c>
    </row>
    <row r="1343" spans="18:19">
      <c r="R1343" s="199">
        <v>43570</v>
      </c>
      <c r="S1343" s="180">
        <v>4.2919999999999998</v>
      </c>
    </row>
    <row r="1344" spans="18:19">
      <c r="R1344" s="199">
        <v>43571</v>
      </c>
      <c r="S1344" s="180">
        <v>4.2919999999999998</v>
      </c>
    </row>
    <row r="1345" spans="18:19">
      <c r="R1345" s="199">
        <v>43572</v>
      </c>
      <c r="S1345" s="180">
        <v>4.2919999999999998</v>
      </c>
    </row>
    <row r="1346" spans="18:19">
      <c r="R1346" s="199">
        <v>43573</v>
      </c>
      <c r="S1346" s="180">
        <v>4.2919999999999998</v>
      </c>
    </row>
    <row r="1347" spans="18:19">
      <c r="R1347" s="199">
        <v>43578</v>
      </c>
      <c r="S1347" s="180">
        <v>4.2919999999999998</v>
      </c>
    </row>
    <row r="1348" spans="18:19">
      <c r="R1348" s="199">
        <v>43579</v>
      </c>
      <c r="S1348" s="180">
        <v>4.2919999999999998</v>
      </c>
    </row>
    <row r="1349" spans="18:19">
      <c r="R1349" s="199">
        <v>43581</v>
      </c>
      <c r="S1349" s="180">
        <v>4.2919999999999998</v>
      </c>
    </row>
    <row r="1350" spans="18:19">
      <c r="R1350" s="199">
        <v>43584</v>
      </c>
      <c r="S1350" s="180">
        <v>4.2919999999999998</v>
      </c>
    </row>
    <row r="1351" spans="18:19">
      <c r="R1351" s="199">
        <v>43585</v>
      </c>
      <c r="S1351" s="180">
        <v>4.2919999999999998</v>
      </c>
    </row>
    <row r="1352" spans="18:19">
      <c r="R1352" s="199">
        <v>43586</v>
      </c>
      <c r="S1352" s="180">
        <v>4.2919999999999998</v>
      </c>
    </row>
    <row r="1353" spans="18:19">
      <c r="R1353" s="199">
        <v>43587</v>
      </c>
      <c r="S1353" s="180">
        <v>4.2919999999999998</v>
      </c>
    </row>
    <row r="1354" spans="18:19">
      <c r="R1354" s="199">
        <v>43588</v>
      </c>
      <c r="S1354" s="180">
        <v>4.2919999999999998</v>
      </c>
    </row>
    <row r="1355" spans="18:19">
      <c r="R1355" s="199">
        <v>43591</v>
      </c>
      <c r="S1355" s="180">
        <v>4.2919999999999998</v>
      </c>
    </row>
    <row r="1356" spans="18:19">
      <c r="R1356" s="199">
        <v>43592</v>
      </c>
      <c r="S1356" s="180">
        <v>4.2919999999999998</v>
      </c>
    </row>
    <row r="1357" spans="18:19">
      <c r="R1357" s="199">
        <v>43593</v>
      </c>
      <c r="S1357" s="180">
        <v>4.2919999999999998</v>
      </c>
    </row>
    <row r="1358" spans="18:19">
      <c r="R1358" s="199">
        <v>43594</v>
      </c>
      <c r="S1358" s="180">
        <v>4.2919999999999998</v>
      </c>
    </row>
    <row r="1359" spans="18:19">
      <c r="R1359" s="199">
        <v>43595</v>
      </c>
      <c r="S1359" s="180">
        <v>4.2919999999999998</v>
      </c>
    </row>
    <row r="1360" spans="18:19">
      <c r="R1360" s="199">
        <v>43598</v>
      </c>
      <c r="S1360" s="180">
        <v>4.2919999999999998</v>
      </c>
    </row>
    <row r="1361" spans="18:19">
      <c r="R1361" s="199">
        <v>43599</v>
      </c>
      <c r="S1361" s="180">
        <v>4.2919999999999998</v>
      </c>
    </row>
    <row r="1362" spans="18:19">
      <c r="R1362" s="199">
        <v>43600</v>
      </c>
      <c r="S1362" s="180">
        <v>4.2919999999999998</v>
      </c>
    </row>
    <row r="1363" spans="18:19">
      <c r="R1363" s="199">
        <v>43601</v>
      </c>
      <c r="S1363" s="180">
        <v>4.2919999999999998</v>
      </c>
    </row>
    <row r="1364" spans="18:19">
      <c r="R1364" s="199">
        <v>43602</v>
      </c>
      <c r="S1364" s="180">
        <v>4.2919999999999998</v>
      </c>
    </row>
    <row r="1365" spans="18:19">
      <c r="R1365" s="199">
        <v>43605</v>
      </c>
      <c r="S1365" s="180">
        <v>4.2919999999999998</v>
      </c>
    </row>
    <row r="1366" spans="18:19">
      <c r="R1366" s="199">
        <v>43606</v>
      </c>
      <c r="S1366" s="180">
        <v>4.2919999999999998</v>
      </c>
    </row>
    <row r="1367" spans="18:19">
      <c r="R1367" s="199">
        <v>43607</v>
      </c>
      <c r="S1367" s="180">
        <v>4.2919999999999998</v>
      </c>
    </row>
    <row r="1368" spans="18:19">
      <c r="R1368" s="199">
        <v>43608</v>
      </c>
      <c r="S1368" s="180">
        <v>4.2919999999999998</v>
      </c>
    </row>
    <row r="1369" spans="18:19">
      <c r="R1369" s="199">
        <v>43609</v>
      </c>
      <c r="S1369" s="180">
        <v>4.2919999999999998</v>
      </c>
    </row>
    <row r="1370" spans="18:19">
      <c r="R1370" s="199">
        <v>43612</v>
      </c>
      <c r="S1370" s="180">
        <v>4.2919999999999998</v>
      </c>
    </row>
    <row r="1371" spans="18:19">
      <c r="R1371" s="199">
        <v>43613</v>
      </c>
      <c r="S1371" s="180">
        <v>4.2919999999999998</v>
      </c>
    </row>
    <row r="1372" spans="18:19">
      <c r="R1372" s="199">
        <v>43614</v>
      </c>
      <c r="S1372" s="180">
        <v>4.2919999999999998</v>
      </c>
    </row>
    <row r="1373" spans="18:19">
      <c r="R1373" s="199">
        <v>43615</v>
      </c>
      <c r="S1373" s="180">
        <v>4.2919999999999998</v>
      </c>
    </row>
    <row r="1374" spans="18:19">
      <c r="R1374" s="199">
        <v>43616</v>
      </c>
      <c r="S1374" s="180">
        <v>4.2919999999999998</v>
      </c>
    </row>
    <row r="1375" spans="18:19">
      <c r="R1375" s="199">
        <v>43619</v>
      </c>
      <c r="S1375" s="180">
        <v>4.2919999999999998</v>
      </c>
    </row>
    <row r="1376" spans="18:19">
      <c r="R1376" s="199">
        <v>43620</v>
      </c>
      <c r="S1376" s="180">
        <v>4.2919999999999998</v>
      </c>
    </row>
    <row r="1377" spans="18:19">
      <c r="R1377" s="199">
        <v>43621</v>
      </c>
      <c r="S1377" s="180">
        <v>4.2919999999999998</v>
      </c>
    </row>
    <row r="1378" spans="18:19">
      <c r="R1378" s="199">
        <v>43622</v>
      </c>
      <c r="S1378" s="180">
        <v>4.2919999999999998</v>
      </c>
    </row>
    <row r="1379" spans="18:19">
      <c r="R1379" s="199">
        <v>43623</v>
      </c>
      <c r="S1379" s="180">
        <v>4.2919999999999998</v>
      </c>
    </row>
    <row r="1380" spans="18:19">
      <c r="R1380" s="199">
        <v>43627</v>
      </c>
      <c r="S1380" s="180">
        <v>4.2919999999999998</v>
      </c>
    </row>
    <row r="1381" spans="18:19">
      <c r="R1381" s="199">
        <v>43628</v>
      </c>
      <c r="S1381" s="180">
        <v>4.2919999999999998</v>
      </c>
    </row>
    <row r="1382" spans="18:19">
      <c r="R1382" s="199">
        <v>43629</v>
      </c>
      <c r="S1382" s="180">
        <v>4.2919999999999998</v>
      </c>
    </row>
    <row r="1383" spans="18:19">
      <c r="R1383" s="199">
        <v>43630</v>
      </c>
      <c r="S1383" s="180">
        <v>4.2919999999999998</v>
      </c>
    </row>
    <row r="1384" spans="18:19">
      <c r="R1384" s="199">
        <v>43633</v>
      </c>
      <c r="S1384" s="180">
        <v>4.2919999999999998</v>
      </c>
    </row>
    <row r="1385" spans="18:19">
      <c r="R1385" s="199">
        <v>43634</v>
      </c>
      <c r="S1385" s="180">
        <v>4.2919999999999998</v>
      </c>
    </row>
    <row r="1386" spans="18:19">
      <c r="R1386" s="199">
        <v>43635</v>
      </c>
      <c r="S1386" s="180">
        <v>4.2919999999999998</v>
      </c>
    </row>
    <row r="1387" spans="18:19">
      <c r="R1387" s="199">
        <v>43636</v>
      </c>
      <c r="S1387" s="180">
        <v>4.2919999999999998</v>
      </c>
    </row>
    <row r="1388" spans="18:19">
      <c r="R1388" s="199">
        <v>43637</v>
      </c>
      <c r="S1388" s="180">
        <v>4.2919999999999998</v>
      </c>
    </row>
    <row r="1389" spans="18:19">
      <c r="R1389" s="199">
        <v>43640</v>
      </c>
      <c r="S1389" s="180">
        <v>4.2919999999999998</v>
      </c>
    </row>
    <row r="1390" spans="18:19">
      <c r="R1390" s="199">
        <v>43641</v>
      </c>
      <c r="S1390" s="180">
        <v>4.2919999999999998</v>
      </c>
    </row>
    <row r="1391" spans="18:19">
      <c r="R1391" s="199">
        <v>43642</v>
      </c>
      <c r="S1391" s="180">
        <v>4.2919999999999998</v>
      </c>
    </row>
    <row r="1392" spans="18:19">
      <c r="R1392" s="199">
        <v>43643</v>
      </c>
      <c r="S1392" s="180">
        <v>4.2919999999999998</v>
      </c>
    </row>
    <row r="1393" spans="18:19">
      <c r="R1393" s="199">
        <v>43644</v>
      </c>
      <c r="S1393" s="180">
        <v>4.2919999999999998</v>
      </c>
    </row>
    <row r="1394" spans="18:19">
      <c r="R1394" s="199">
        <v>43647</v>
      </c>
      <c r="S1394" s="180">
        <v>4.2919999999999998</v>
      </c>
    </row>
    <row r="1395" spans="18:19">
      <c r="R1395" s="199">
        <v>43648</v>
      </c>
      <c r="S1395" s="180">
        <v>4.2919999999999998</v>
      </c>
    </row>
    <row r="1396" spans="18:19">
      <c r="R1396" s="199">
        <v>43649</v>
      </c>
      <c r="S1396" s="180">
        <v>4.2919999999999998</v>
      </c>
    </row>
    <row r="1397" spans="18:19">
      <c r="R1397" s="199">
        <v>43650</v>
      </c>
      <c r="S1397" s="180">
        <v>4.2919999999999998</v>
      </c>
    </row>
    <row r="1398" spans="18:19">
      <c r="R1398" s="199">
        <v>43651</v>
      </c>
      <c r="S1398" s="180">
        <v>4.2919999999999998</v>
      </c>
    </row>
    <row r="1399" spans="18:19">
      <c r="R1399" s="199">
        <v>43654</v>
      </c>
      <c r="S1399" s="180">
        <v>4.2919999999999998</v>
      </c>
    </row>
    <row r="1400" spans="18:19">
      <c r="R1400" s="199">
        <v>43655</v>
      </c>
      <c r="S1400" s="180">
        <v>4.2919999999999998</v>
      </c>
    </row>
    <row r="1401" spans="18:19">
      <c r="R1401" s="199">
        <v>43656</v>
      </c>
      <c r="S1401" s="180">
        <v>4.2919999999999998</v>
      </c>
    </row>
    <row r="1402" spans="18:19">
      <c r="R1402" s="199">
        <v>43657</v>
      </c>
      <c r="S1402" s="180">
        <v>4.2919999999999998</v>
      </c>
    </row>
    <row r="1403" spans="18:19">
      <c r="R1403" s="199">
        <v>43658</v>
      </c>
      <c r="S1403" s="180">
        <v>4.2919999999999998</v>
      </c>
    </row>
    <row r="1404" spans="18:19">
      <c r="R1404" s="199">
        <v>43661</v>
      </c>
      <c r="S1404" s="180">
        <v>4.2919999999999998</v>
      </c>
    </row>
    <row r="1405" spans="18:19">
      <c r="R1405" s="199">
        <v>43662</v>
      </c>
      <c r="S1405" s="180">
        <v>4.2919999999999998</v>
      </c>
    </row>
    <row r="1406" spans="18:19">
      <c r="R1406" s="199">
        <v>43663</v>
      </c>
      <c r="S1406" s="180">
        <v>4.2919999999999998</v>
      </c>
    </row>
    <row r="1407" spans="18:19">
      <c r="R1407" s="199">
        <v>43664</v>
      </c>
      <c r="S1407" s="180">
        <v>4.2919999999999998</v>
      </c>
    </row>
    <row r="1408" spans="18:19">
      <c r="R1408" s="199">
        <v>43665</v>
      </c>
      <c r="S1408" s="180">
        <v>4.2919999999999998</v>
      </c>
    </row>
    <row r="1409" spans="18:19">
      <c r="R1409" s="199">
        <v>43668</v>
      </c>
      <c r="S1409" s="180">
        <v>4.2919999999999998</v>
      </c>
    </row>
    <row r="1410" spans="18:19">
      <c r="R1410" s="199">
        <v>43669</v>
      </c>
      <c r="S1410" s="180">
        <v>4.2919999999999998</v>
      </c>
    </row>
    <row r="1411" spans="18:19">
      <c r="R1411" s="199">
        <v>43670</v>
      </c>
      <c r="S1411" s="180">
        <v>4.2919999999999998</v>
      </c>
    </row>
    <row r="1412" spans="18:19">
      <c r="R1412" s="199">
        <v>43671</v>
      </c>
      <c r="S1412" s="180">
        <v>4.2919999999999998</v>
      </c>
    </row>
    <row r="1413" spans="18:19">
      <c r="R1413" s="199">
        <v>43672</v>
      </c>
      <c r="S1413" s="180">
        <v>4.2919999999999998</v>
      </c>
    </row>
    <row r="1414" spans="18:19">
      <c r="R1414" s="199">
        <v>43675</v>
      </c>
      <c r="S1414" s="180">
        <v>4.2919999999999998</v>
      </c>
    </row>
    <row r="1415" spans="18:19">
      <c r="R1415" s="199">
        <v>43676</v>
      </c>
      <c r="S1415" s="180">
        <v>4.2919999999999998</v>
      </c>
    </row>
    <row r="1416" spans="18:19">
      <c r="R1416" s="199">
        <v>43677</v>
      </c>
      <c r="S1416" s="180">
        <v>4.2919999999999998</v>
      </c>
    </row>
    <row r="1417" spans="18:19">
      <c r="R1417" s="199">
        <v>43678</v>
      </c>
      <c r="S1417" s="180">
        <v>4.2919999999999998</v>
      </c>
    </row>
    <row r="1418" spans="18:19">
      <c r="R1418" s="199">
        <v>43679</v>
      </c>
      <c r="S1418" s="180">
        <v>4.2919999999999998</v>
      </c>
    </row>
    <row r="1419" spans="18:19">
      <c r="R1419" s="199">
        <v>43682</v>
      </c>
      <c r="S1419" s="180">
        <v>4.2919999999999998</v>
      </c>
    </row>
    <row r="1420" spans="18:19">
      <c r="R1420" s="199">
        <v>43683</v>
      </c>
      <c r="S1420" s="180">
        <v>4.2919999999999998</v>
      </c>
    </row>
    <row r="1421" spans="18:19">
      <c r="R1421" s="199">
        <v>43684</v>
      </c>
      <c r="S1421" s="180">
        <v>4.2919999999999998</v>
      </c>
    </row>
    <row r="1422" spans="18:19">
      <c r="R1422" s="199">
        <v>43685</v>
      </c>
      <c r="S1422" s="180">
        <v>4.2919999999999998</v>
      </c>
    </row>
    <row r="1423" spans="18:19">
      <c r="R1423" s="199">
        <v>43686</v>
      </c>
      <c r="S1423" s="180">
        <v>4.2919999999999998</v>
      </c>
    </row>
    <row r="1424" spans="18:19">
      <c r="R1424" s="199">
        <v>43689</v>
      </c>
      <c r="S1424" s="180">
        <v>4.2919999999999998</v>
      </c>
    </row>
    <row r="1425" spans="18:19">
      <c r="R1425" s="199">
        <v>43690</v>
      </c>
      <c r="S1425" s="180">
        <v>4.2919999999999998</v>
      </c>
    </row>
    <row r="1426" spans="18:19">
      <c r="R1426" s="199">
        <v>43691</v>
      </c>
      <c r="S1426" s="180">
        <v>4.2919999999999998</v>
      </c>
    </row>
    <row r="1427" spans="18:19">
      <c r="R1427" s="199">
        <v>43692</v>
      </c>
      <c r="S1427" s="180">
        <v>4.2919999999999998</v>
      </c>
    </row>
    <row r="1428" spans="18:19">
      <c r="R1428" s="199">
        <v>43693</v>
      </c>
      <c r="S1428" s="180">
        <v>4.2919999999999998</v>
      </c>
    </row>
    <row r="1429" spans="18:19">
      <c r="R1429" s="199">
        <v>43696</v>
      </c>
      <c r="S1429" s="180">
        <v>4.2919999999999998</v>
      </c>
    </row>
    <row r="1430" spans="18:19">
      <c r="R1430" s="199">
        <v>43697</v>
      </c>
      <c r="S1430" s="180">
        <v>4.2919999999999998</v>
      </c>
    </row>
    <row r="1431" spans="18:19">
      <c r="R1431" s="199">
        <v>43698</v>
      </c>
      <c r="S1431" s="180">
        <v>4.2919999999999998</v>
      </c>
    </row>
    <row r="1432" spans="18:19">
      <c r="R1432" s="199">
        <v>43699</v>
      </c>
      <c r="S1432" s="180">
        <v>4.2919999999999998</v>
      </c>
    </row>
    <row r="1433" spans="18:19">
      <c r="R1433" s="199">
        <v>43700</v>
      </c>
      <c r="S1433" s="180">
        <v>4.2919999999999998</v>
      </c>
    </row>
    <row r="1434" spans="18:19">
      <c r="R1434" s="199">
        <v>43703</v>
      </c>
      <c r="S1434" s="180">
        <v>4.2919999999999998</v>
      </c>
    </row>
    <row r="1435" spans="18:19">
      <c r="R1435" s="199">
        <v>43704</v>
      </c>
      <c r="S1435" s="180">
        <v>4.2919999999999998</v>
      </c>
    </row>
    <row r="1436" spans="18:19">
      <c r="R1436" s="199">
        <v>43705</v>
      </c>
      <c r="S1436" s="180">
        <v>4.2919999999999998</v>
      </c>
    </row>
    <row r="1437" spans="18:19">
      <c r="R1437" s="199">
        <v>43706</v>
      </c>
      <c r="S1437" s="180">
        <v>4.2919999999999998</v>
      </c>
    </row>
    <row r="1438" spans="18:19">
      <c r="R1438" s="199">
        <v>43707</v>
      </c>
      <c r="S1438" s="180">
        <v>4.2919999999999998</v>
      </c>
    </row>
    <row r="1439" spans="18:19">
      <c r="R1439" s="199">
        <v>43710</v>
      </c>
      <c r="S1439" s="180">
        <v>4.2919999999999998</v>
      </c>
    </row>
    <row r="1440" spans="18:19">
      <c r="R1440" s="199">
        <v>43711</v>
      </c>
      <c r="S1440" s="180">
        <v>4.2919999999999998</v>
      </c>
    </row>
    <row r="1441" spans="18:19">
      <c r="R1441" s="199">
        <v>43712</v>
      </c>
      <c r="S1441" s="180">
        <v>4.2919999999999998</v>
      </c>
    </row>
    <row r="1442" spans="18:19">
      <c r="R1442" s="199">
        <v>43713</v>
      </c>
      <c r="S1442" s="180">
        <v>4.2919999999999998</v>
      </c>
    </row>
    <row r="1443" spans="18:19">
      <c r="R1443" s="199">
        <v>43714</v>
      </c>
      <c r="S1443" s="180">
        <v>4.2919999999999998</v>
      </c>
    </row>
    <row r="1444" spans="18:19">
      <c r="R1444" s="199">
        <v>43717</v>
      </c>
      <c r="S1444" s="180">
        <v>4.2919999999999998</v>
      </c>
    </row>
    <row r="1445" spans="18:19">
      <c r="R1445" s="199">
        <v>43718</v>
      </c>
      <c r="S1445" s="180">
        <v>4.2919999999999998</v>
      </c>
    </row>
    <row r="1446" spans="18:19">
      <c r="R1446" s="199">
        <v>43719</v>
      </c>
      <c r="S1446" s="180">
        <v>4.2919999999999998</v>
      </c>
    </row>
    <row r="1447" spans="18:19">
      <c r="R1447" s="199">
        <v>43720</v>
      </c>
      <c r="S1447" s="180">
        <v>4.2919999999999998</v>
      </c>
    </row>
    <row r="1448" spans="18:19">
      <c r="R1448" s="199">
        <v>43721</v>
      </c>
      <c r="S1448" s="180">
        <v>4.2919999999999998</v>
      </c>
    </row>
    <row r="1449" spans="18:19">
      <c r="R1449" s="199">
        <v>43724</v>
      </c>
      <c r="S1449" s="180">
        <v>4.2919999999999998</v>
      </c>
    </row>
    <row r="1450" spans="18:19">
      <c r="R1450" s="199">
        <v>43725</v>
      </c>
      <c r="S1450" s="180">
        <v>4.2919999999999998</v>
      </c>
    </row>
    <row r="1451" spans="18:19">
      <c r="R1451" s="199">
        <v>43726</v>
      </c>
      <c r="S1451" s="180">
        <v>4.2919999999999998</v>
      </c>
    </row>
    <row r="1452" spans="18:19">
      <c r="R1452" s="199">
        <v>43727</v>
      </c>
      <c r="S1452" s="180">
        <v>4.2919999999999998</v>
      </c>
    </row>
    <row r="1453" spans="18:19">
      <c r="R1453" s="199">
        <v>43728</v>
      </c>
      <c r="S1453" s="180">
        <v>4.2919999999999998</v>
      </c>
    </row>
    <row r="1454" spans="18:19">
      <c r="R1454" s="199">
        <v>43731</v>
      </c>
      <c r="S1454" s="180">
        <v>4.2919999999999998</v>
      </c>
    </row>
    <row r="1455" spans="18:19">
      <c r="R1455" s="199">
        <v>43732</v>
      </c>
      <c r="S1455" s="180">
        <v>4.2919999999999998</v>
      </c>
    </row>
    <row r="1456" spans="18:19">
      <c r="R1456" s="199">
        <v>43733</v>
      </c>
      <c r="S1456" s="180">
        <v>4.2919999999999998</v>
      </c>
    </row>
    <row r="1457" spans="18:19">
      <c r="R1457" s="199">
        <v>43734</v>
      </c>
      <c r="S1457" s="180">
        <v>4.2919999999999998</v>
      </c>
    </row>
    <row r="1458" spans="18:19">
      <c r="R1458" s="199">
        <v>43735</v>
      </c>
      <c r="S1458" s="180">
        <v>4.2919999999999998</v>
      </c>
    </row>
    <row r="1459" spans="18:19">
      <c r="R1459" s="199">
        <v>43738</v>
      </c>
      <c r="S1459" s="180">
        <v>4.2919999999999998</v>
      </c>
    </row>
    <row r="1460" spans="18:19">
      <c r="R1460" s="199">
        <v>43739</v>
      </c>
      <c r="S1460" s="180">
        <v>4.2919999999999998</v>
      </c>
    </row>
    <row r="1461" spans="18:19">
      <c r="R1461" s="199">
        <v>43740</v>
      </c>
      <c r="S1461" s="180">
        <v>4.2919999999999998</v>
      </c>
    </row>
    <row r="1462" spans="18:19">
      <c r="R1462" s="199">
        <v>43741</v>
      </c>
      <c r="S1462" s="180">
        <v>4.2919999999999998</v>
      </c>
    </row>
    <row r="1463" spans="18:19">
      <c r="R1463" s="199">
        <v>43742</v>
      </c>
      <c r="S1463" s="180">
        <v>4.2919999999999998</v>
      </c>
    </row>
    <row r="1464" spans="18:19">
      <c r="R1464" s="199">
        <v>43745</v>
      </c>
      <c r="S1464" s="180">
        <v>4.2919999999999998</v>
      </c>
    </row>
    <row r="1465" spans="18:19">
      <c r="R1465" s="199">
        <v>43746</v>
      </c>
      <c r="S1465" s="180">
        <v>4.2919999999999998</v>
      </c>
    </row>
    <row r="1466" spans="18:19">
      <c r="R1466" s="199">
        <v>43747</v>
      </c>
      <c r="S1466" s="180">
        <v>4.2919999999999998</v>
      </c>
    </row>
    <row r="1467" spans="18:19">
      <c r="R1467" s="199">
        <v>43748</v>
      </c>
      <c r="S1467" s="180">
        <v>4.2919999999999998</v>
      </c>
    </row>
    <row r="1468" spans="18:19">
      <c r="R1468" s="199">
        <v>43749</v>
      </c>
      <c r="S1468" s="180">
        <v>4.2919999999999998</v>
      </c>
    </row>
    <row r="1469" spans="18:19">
      <c r="R1469" s="199">
        <v>43752</v>
      </c>
      <c r="S1469" s="180">
        <v>4.2919999999999998</v>
      </c>
    </row>
    <row r="1470" spans="18:19">
      <c r="R1470" s="199">
        <v>43753</v>
      </c>
      <c r="S1470" s="180">
        <v>4.2919999999999998</v>
      </c>
    </row>
    <row r="1471" spans="18:19">
      <c r="R1471" s="199">
        <v>43754</v>
      </c>
      <c r="S1471" s="180">
        <v>4.2919999999999998</v>
      </c>
    </row>
    <row r="1472" spans="18:19">
      <c r="R1472" s="199">
        <v>43755</v>
      </c>
      <c r="S1472" s="180">
        <v>4.2919999999999998</v>
      </c>
    </row>
    <row r="1473" spans="18:19">
      <c r="R1473" s="199">
        <v>43756</v>
      </c>
      <c r="S1473" s="180">
        <v>4.2919999999999998</v>
      </c>
    </row>
    <row r="1474" spans="18:19">
      <c r="R1474" s="199">
        <v>43759</v>
      </c>
      <c r="S1474" s="180">
        <v>4.2919999999999998</v>
      </c>
    </row>
    <row r="1475" spans="18:19">
      <c r="R1475" s="199">
        <v>43760</v>
      </c>
      <c r="S1475" s="180">
        <v>4.2919999999999998</v>
      </c>
    </row>
    <row r="1476" spans="18:19">
      <c r="R1476" s="199">
        <v>43761</v>
      </c>
      <c r="S1476" s="180">
        <v>4.2919999999999998</v>
      </c>
    </row>
    <row r="1477" spans="18:19">
      <c r="R1477" s="199">
        <v>43762</v>
      </c>
      <c r="S1477" s="180">
        <v>4.2919999999999998</v>
      </c>
    </row>
    <row r="1478" spans="18:19">
      <c r="R1478" s="199">
        <v>43763</v>
      </c>
      <c r="S1478" s="180">
        <v>4.2919999999999998</v>
      </c>
    </row>
    <row r="1479" spans="18:19">
      <c r="R1479" s="199">
        <v>43766</v>
      </c>
      <c r="S1479" s="180">
        <v>4.2919999999999998</v>
      </c>
    </row>
    <row r="1480" spans="18:19">
      <c r="R1480" s="199">
        <v>43767</v>
      </c>
      <c r="S1480" s="180">
        <v>4.2919999999999998</v>
      </c>
    </row>
    <row r="1481" spans="18:19">
      <c r="R1481" s="199">
        <v>43768</v>
      </c>
      <c r="S1481" s="180">
        <v>4.2919999999999998</v>
      </c>
    </row>
    <row r="1482" spans="18:19">
      <c r="R1482" s="199">
        <v>43769</v>
      </c>
      <c r="S1482" s="180">
        <v>4.2919999999999998</v>
      </c>
    </row>
    <row r="1483" spans="18:19">
      <c r="R1483" s="199">
        <v>43770</v>
      </c>
      <c r="S1483" s="180">
        <v>4.2919999999999998</v>
      </c>
    </row>
    <row r="1484" spans="18:19">
      <c r="R1484" s="199">
        <v>43773</v>
      </c>
      <c r="S1484" s="180">
        <v>4.2919999999999998</v>
      </c>
    </row>
    <row r="1485" spans="18:19">
      <c r="R1485" s="199">
        <v>43774</v>
      </c>
      <c r="S1485" s="180">
        <v>4.2919999999999998</v>
      </c>
    </row>
    <row r="1486" spans="18:19">
      <c r="R1486" s="199">
        <v>43775</v>
      </c>
      <c r="S1486" s="180">
        <v>4.2919999999999998</v>
      </c>
    </row>
    <row r="1487" spans="18:19">
      <c r="R1487" s="199">
        <v>43776</v>
      </c>
      <c r="S1487" s="180">
        <v>4.2919999999999998</v>
      </c>
    </row>
    <row r="1488" spans="18:19">
      <c r="R1488" s="199">
        <v>43777</v>
      </c>
      <c r="S1488" s="180">
        <v>4.2919999999999998</v>
      </c>
    </row>
    <row r="1489" spans="18:19">
      <c r="R1489" s="199">
        <v>43780</v>
      </c>
      <c r="S1489" s="180">
        <v>4.2919999999999998</v>
      </c>
    </row>
    <row r="1490" spans="18:19">
      <c r="R1490" s="199">
        <v>43781</v>
      </c>
      <c r="S1490" s="180">
        <v>4.2919999999999998</v>
      </c>
    </row>
    <row r="1491" spans="18:19">
      <c r="R1491" s="199">
        <v>43782</v>
      </c>
      <c r="S1491" s="180">
        <v>4.2919999999999998</v>
      </c>
    </row>
    <row r="1492" spans="18:19">
      <c r="R1492" s="199">
        <v>43783</v>
      </c>
      <c r="S1492" s="180">
        <v>4.2919999999999998</v>
      </c>
    </row>
    <row r="1493" spans="18:19">
      <c r="R1493" s="199">
        <v>43784</v>
      </c>
      <c r="S1493" s="180">
        <v>4.2919999999999998</v>
      </c>
    </row>
    <row r="1494" spans="18:19">
      <c r="R1494" s="199">
        <v>43787</v>
      </c>
      <c r="S1494" s="180">
        <v>4.2919999999999998</v>
      </c>
    </row>
    <row r="1495" spans="18:19">
      <c r="R1495" s="199">
        <v>43788</v>
      </c>
      <c r="S1495" s="180">
        <v>4.2919999999999998</v>
      </c>
    </row>
    <row r="1496" spans="18:19">
      <c r="R1496" s="199">
        <v>43789</v>
      </c>
      <c r="S1496" s="180">
        <v>4.2919999999999998</v>
      </c>
    </row>
    <row r="1497" spans="18:19">
      <c r="R1497" s="199">
        <v>43790</v>
      </c>
      <c r="S1497" s="180">
        <v>4.2919999999999998</v>
      </c>
    </row>
    <row r="1498" spans="18:19">
      <c r="R1498" s="199">
        <v>43791</v>
      </c>
      <c r="S1498" s="180">
        <v>4.2919999999999998</v>
      </c>
    </row>
    <row r="1499" spans="18:19">
      <c r="R1499" s="199">
        <v>43794</v>
      </c>
      <c r="S1499" s="180">
        <v>4.2919999999999998</v>
      </c>
    </row>
    <row r="1500" spans="18:19">
      <c r="R1500" s="199">
        <v>43795</v>
      </c>
      <c r="S1500" s="180">
        <v>4.2919999999999998</v>
      </c>
    </row>
    <row r="1501" spans="18:19">
      <c r="R1501" s="199">
        <v>43796</v>
      </c>
      <c r="S1501" s="180">
        <v>4.2919999999999998</v>
      </c>
    </row>
    <row r="1502" spans="18:19">
      <c r="R1502" s="199">
        <v>43797</v>
      </c>
      <c r="S1502" s="180">
        <v>4.2919999999999998</v>
      </c>
    </row>
    <row r="1503" spans="18:19">
      <c r="R1503" s="199">
        <v>43798</v>
      </c>
      <c r="S1503" s="180">
        <v>4.2919999999999998</v>
      </c>
    </row>
    <row r="1504" spans="18:19">
      <c r="R1504" s="199">
        <v>43801</v>
      </c>
      <c r="S1504" s="180">
        <v>4.2919999999999998</v>
      </c>
    </row>
    <row r="1505" spans="18:19">
      <c r="R1505" s="199">
        <v>43802</v>
      </c>
      <c r="S1505" s="180">
        <v>4.2919999999999998</v>
      </c>
    </row>
    <row r="1506" spans="18:19">
      <c r="R1506" s="199">
        <v>43803</v>
      </c>
      <c r="S1506" s="180">
        <v>4.2919999999999998</v>
      </c>
    </row>
    <row r="1507" spans="18:19">
      <c r="R1507" s="199">
        <v>43804</v>
      </c>
      <c r="S1507" s="180">
        <v>4.2919999999999998</v>
      </c>
    </row>
    <row r="1508" spans="18:19">
      <c r="R1508" s="199">
        <v>43805</v>
      </c>
      <c r="S1508" s="180">
        <v>4.2919999999999998</v>
      </c>
    </row>
    <row r="1509" spans="18:19">
      <c r="R1509" s="199">
        <v>43808</v>
      </c>
      <c r="S1509" s="180">
        <v>4.2919999999999998</v>
      </c>
    </row>
    <row r="1510" spans="18:19">
      <c r="R1510" s="199">
        <v>43809</v>
      </c>
      <c r="S1510" s="180">
        <v>4.2919999999999998</v>
      </c>
    </row>
    <row r="1511" spans="18:19">
      <c r="R1511" s="199">
        <v>43810</v>
      </c>
      <c r="S1511" s="180">
        <v>4.2919999999999998</v>
      </c>
    </row>
    <row r="1512" spans="18:19">
      <c r="R1512" s="199">
        <v>43811</v>
      </c>
      <c r="S1512" s="180">
        <v>4.2919999999999998</v>
      </c>
    </row>
    <row r="1513" spans="18:19">
      <c r="R1513" s="199">
        <v>43812</v>
      </c>
      <c r="S1513" s="180">
        <v>4.2919999999999998</v>
      </c>
    </row>
    <row r="1514" spans="18:19">
      <c r="R1514" s="199">
        <v>43815</v>
      </c>
      <c r="S1514" s="180">
        <v>4.2919999999999998</v>
      </c>
    </row>
    <row r="1515" spans="18:19">
      <c r="R1515" s="199">
        <v>43816</v>
      </c>
      <c r="S1515" s="180">
        <v>4.2919999999999998</v>
      </c>
    </row>
    <row r="1516" spans="18:19">
      <c r="R1516" s="199">
        <v>43817</v>
      </c>
      <c r="S1516" s="180">
        <v>4.2919999999999998</v>
      </c>
    </row>
    <row r="1517" spans="18:19">
      <c r="R1517" s="199">
        <v>43818</v>
      </c>
      <c r="S1517" s="180">
        <v>4.2919999999999998</v>
      </c>
    </row>
    <row r="1518" spans="18:19">
      <c r="R1518" s="199">
        <v>43819</v>
      </c>
      <c r="S1518" s="180">
        <v>4.2919999999999998</v>
      </c>
    </row>
    <row r="1519" spans="18:19">
      <c r="R1519" s="199">
        <v>43822</v>
      </c>
      <c r="S1519" s="180">
        <v>4.2919999999999998</v>
      </c>
    </row>
    <row r="1520" spans="18:19">
      <c r="R1520" s="199">
        <v>43823</v>
      </c>
      <c r="S1520" s="180">
        <v>4.2919999999999998</v>
      </c>
    </row>
    <row r="1521" spans="18:19">
      <c r="R1521" s="199">
        <v>43826</v>
      </c>
      <c r="S1521" s="180">
        <v>4.2919999999999998</v>
      </c>
    </row>
    <row r="1522" spans="18:19">
      <c r="R1522" s="199">
        <v>43829</v>
      </c>
      <c r="S1522" s="180">
        <v>4.2919999999999998</v>
      </c>
    </row>
    <row r="1523" spans="18:19">
      <c r="R1523" s="199">
        <v>43830</v>
      </c>
      <c r="S1523" s="180">
        <v>4.2919999999999998</v>
      </c>
    </row>
    <row r="1524" spans="18:19">
      <c r="R1524" s="199">
        <v>43832</v>
      </c>
      <c r="S1524" s="180">
        <v>4.2919999999999998</v>
      </c>
    </row>
    <row r="1525" spans="18:19">
      <c r="R1525" s="199">
        <v>43833</v>
      </c>
      <c r="S1525" s="180">
        <v>4.2919999999999998</v>
      </c>
    </row>
    <row r="1526" spans="18:19">
      <c r="R1526" s="199">
        <v>43836</v>
      </c>
      <c r="S1526" s="180">
        <v>4.2919999999999998</v>
      </c>
    </row>
    <row r="1527" spans="18:19">
      <c r="R1527" s="199">
        <v>43837</v>
      </c>
      <c r="S1527" s="180">
        <v>4.2919999999999998</v>
      </c>
    </row>
    <row r="1528" spans="18:19">
      <c r="R1528" s="199">
        <v>43838</v>
      </c>
      <c r="S1528" s="180">
        <v>4.2919999999999998</v>
      </c>
    </row>
    <row r="1529" spans="18:19">
      <c r="R1529" s="199">
        <v>43839</v>
      </c>
      <c r="S1529" s="180">
        <v>4.2919999999999998</v>
      </c>
    </row>
    <row r="1530" spans="18:19">
      <c r="R1530" s="199">
        <v>43840</v>
      </c>
      <c r="S1530" s="180">
        <v>4.2919999999999998</v>
      </c>
    </row>
    <row r="1531" spans="18:19">
      <c r="R1531" s="199">
        <v>43843</v>
      </c>
      <c r="S1531" s="180">
        <v>4.2919999999999998</v>
      </c>
    </row>
    <row r="1532" spans="18:19">
      <c r="R1532" s="199">
        <v>43844</v>
      </c>
      <c r="S1532" s="180">
        <v>4.2919999999999998</v>
      </c>
    </row>
    <row r="1533" spans="18:19">
      <c r="R1533" s="199">
        <v>43845</v>
      </c>
      <c r="S1533" s="180">
        <v>4.2919999999999998</v>
      </c>
    </row>
    <row r="1534" spans="18:19">
      <c r="R1534" s="199">
        <v>43846</v>
      </c>
      <c r="S1534" s="180">
        <v>4.2919999999999998</v>
      </c>
    </row>
    <row r="1535" spans="18:19">
      <c r="R1535" s="199">
        <v>43847</v>
      </c>
      <c r="S1535" s="180">
        <v>4.2919999999999998</v>
      </c>
    </row>
    <row r="1536" spans="18:19">
      <c r="R1536" s="199">
        <v>43850</v>
      </c>
      <c r="S1536" s="180">
        <v>4.2919999999999998</v>
      </c>
    </row>
    <row r="1537" spans="18:19">
      <c r="R1537" s="199">
        <v>43851</v>
      </c>
      <c r="S1537" s="180">
        <v>4.2919999999999998</v>
      </c>
    </row>
    <row r="1538" spans="18:19">
      <c r="R1538" s="199">
        <v>43852</v>
      </c>
      <c r="S1538" s="180">
        <v>4.2919999999999998</v>
      </c>
    </row>
    <row r="1539" spans="18:19">
      <c r="R1539" s="199">
        <v>43853</v>
      </c>
      <c r="S1539" s="180">
        <v>4.2919999999999998</v>
      </c>
    </row>
    <row r="1540" spans="18:19">
      <c r="R1540" s="199">
        <v>43854</v>
      </c>
      <c r="S1540" s="180">
        <v>4.2919999999999998</v>
      </c>
    </row>
    <row r="1541" spans="18:19">
      <c r="R1541" s="199">
        <v>43858</v>
      </c>
      <c r="S1541" s="180">
        <v>4.2919999999999998</v>
      </c>
    </row>
    <row r="1542" spans="18:19">
      <c r="R1542" s="199">
        <v>43859</v>
      </c>
      <c r="S1542" s="180">
        <v>4.2919999999999998</v>
      </c>
    </row>
    <row r="1543" spans="18:19">
      <c r="R1543" s="199">
        <v>43860</v>
      </c>
      <c r="S1543" s="180">
        <v>4.2919999999999998</v>
      </c>
    </row>
    <row r="1544" spans="18:19">
      <c r="R1544" s="199">
        <v>43861</v>
      </c>
      <c r="S1544" s="180">
        <v>4.2919999999999998</v>
      </c>
    </row>
    <row r="1545" spans="18:19">
      <c r="R1545" s="199">
        <v>43864</v>
      </c>
      <c r="S1545" s="180">
        <v>4.2919999999999998</v>
      </c>
    </row>
    <row r="1546" spans="18:19">
      <c r="R1546" s="199">
        <v>43865</v>
      </c>
      <c r="S1546" s="180">
        <v>4.2919999999999998</v>
      </c>
    </row>
    <row r="1547" spans="18:19">
      <c r="R1547" s="199">
        <v>43866</v>
      </c>
      <c r="S1547" s="180">
        <v>4.2919999999999998</v>
      </c>
    </row>
    <row r="1548" spans="18:19">
      <c r="R1548" s="199">
        <v>43867</v>
      </c>
      <c r="S1548" s="180">
        <v>4.2919999999999998</v>
      </c>
    </row>
    <row r="1549" spans="18:19">
      <c r="R1549" s="199">
        <v>43868</v>
      </c>
      <c r="S1549" s="180">
        <v>4.2919999999999998</v>
      </c>
    </row>
    <row r="1550" spans="18:19">
      <c r="R1550" s="199">
        <v>43871</v>
      </c>
      <c r="S1550" s="180">
        <v>4.2919999999999998</v>
      </c>
    </row>
    <row r="1551" spans="18:19">
      <c r="R1551" s="199">
        <v>43872</v>
      </c>
      <c r="S1551" s="180">
        <v>4.2919999999999998</v>
      </c>
    </row>
    <row r="1552" spans="18:19">
      <c r="R1552" s="199">
        <v>43873</v>
      </c>
      <c r="S1552" s="180">
        <v>4.2919999999999998</v>
      </c>
    </row>
    <row r="1553" spans="18:19">
      <c r="R1553" s="199">
        <v>43874</v>
      </c>
      <c r="S1553" s="180">
        <v>4.2919999999999998</v>
      </c>
    </row>
    <row r="1554" spans="18:19">
      <c r="R1554" s="199">
        <v>43875</v>
      </c>
      <c r="S1554" s="180">
        <v>4.2919999999999998</v>
      </c>
    </row>
    <row r="1555" spans="18:19">
      <c r="R1555" s="199">
        <v>43878</v>
      </c>
      <c r="S1555" s="180">
        <v>4.2919999999999998</v>
      </c>
    </row>
    <row r="1556" spans="18:19">
      <c r="R1556" s="199">
        <v>43879</v>
      </c>
      <c r="S1556" s="180">
        <v>4.2919999999999998</v>
      </c>
    </row>
    <row r="1557" spans="18:19">
      <c r="R1557" s="199">
        <v>43880</v>
      </c>
      <c r="S1557" s="180">
        <v>4.2919999999999998</v>
      </c>
    </row>
    <row r="1558" spans="18:19">
      <c r="R1558" s="199">
        <v>43881</v>
      </c>
      <c r="S1558" s="180">
        <v>4.2919999999999998</v>
      </c>
    </row>
    <row r="1559" spans="18:19">
      <c r="R1559" s="199">
        <v>43882</v>
      </c>
      <c r="S1559" s="180">
        <v>4.2919999999999998</v>
      </c>
    </row>
    <row r="1560" spans="18:19">
      <c r="R1560" s="199">
        <v>43885</v>
      </c>
      <c r="S1560" s="180">
        <v>4.2919999999999998</v>
      </c>
    </row>
    <row r="1561" spans="18:19">
      <c r="R1561" s="199">
        <v>43886</v>
      </c>
      <c r="S1561" s="180">
        <v>4.2919999999999998</v>
      </c>
    </row>
    <row r="1562" spans="18:19">
      <c r="R1562" s="199">
        <v>43887</v>
      </c>
      <c r="S1562" s="180">
        <v>4.2919999999999998</v>
      </c>
    </row>
    <row r="1563" spans="18:19">
      <c r="R1563" s="199">
        <v>43888</v>
      </c>
      <c r="S1563" s="180">
        <v>4.2919999999999998</v>
      </c>
    </row>
    <row r="1564" spans="18:19">
      <c r="R1564" s="199">
        <v>43889</v>
      </c>
      <c r="S1564" s="180">
        <v>4.2919999999999998</v>
      </c>
    </row>
    <row r="1565" spans="18:19">
      <c r="R1565" s="199">
        <v>43892</v>
      </c>
      <c r="S1565" s="180">
        <v>4.2919999999999998</v>
      </c>
    </row>
    <row r="1566" spans="18:19">
      <c r="R1566" s="199">
        <v>43893</v>
      </c>
      <c r="S1566" s="180">
        <v>4.2919999999999998</v>
      </c>
    </row>
    <row r="1567" spans="18:19">
      <c r="R1567" s="199">
        <v>43894</v>
      </c>
      <c r="S1567" s="180">
        <v>4.2919999999999998</v>
      </c>
    </row>
    <row r="1568" spans="18:19">
      <c r="R1568" s="199">
        <v>43895</v>
      </c>
      <c r="S1568" s="180">
        <v>4.2919999999999998</v>
      </c>
    </row>
    <row r="1569" spans="18:19">
      <c r="R1569" s="199">
        <v>43896</v>
      </c>
      <c r="S1569" s="180">
        <v>4.2919999999999998</v>
      </c>
    </row>
    <row r="1570" spans="18:19">
      <c r="R1570" s="199">
        <v>43899</v>
      </c>
      <c r="S1570" s="180">
        <v>4.2919999999999998</v>
      </c>
    </row>
    <row r="1571" spans="18:19">
      <c r="R1571" s="199">
        <v>43900</v>
      </c>
      <c r="S1571" s="180">
        <v>4.2919999999999998</v>
      </c>
    </row>
    <row r="1572" spans="18:19">
      <c r="R1572" s="199">
        <v>43901</v>
      </c>
      <c r="S1572" s="180">
        <v>4.2919999999999998</v>
      </c>
    </row>
    <row r="1573" spans="18:19">
      <c r="R1573" s="199">
        <v>43902</v>
      </c>
      <c r="S1573" s="180">
        <v>4.2919999999999998</v>
      </c>
    </row>
    <row r="1574" spans="18:19">
      <c r="R1574" s="199">
        <v>43903</v>
      </c>
      <c r="S1574" s="180">
        <v>4.2919999999999998</v>
      </c>
    </row>
    <row r="1575" spans="18:19">
      <c r="R1575" s="199">
        <v>43906</v>
      </c>
      <c r="S1575" s="180">
        <v>4.2919999999999998</v>
      </c>
    </row>
    <row r="1576" spans="18:19">
      <c r="R1576" s="199">
        <v>43907</v>
      </c>
      <c r="S1576" s="180">
        <v>4.2919999999999998</v>
      </c>
    </row>
    <row r="1577" spans="18:19">
      <c r="R1577" s="199">
        <v>43908</v>
      </c>
      <c r="S1577" s="180">
        <v>4.2919999999999998</v>
      </c>
    </row>
    <row r="1578" spans="18:19">
      <c r="R1578" s="199">
        <v>43909</v>
      </c>
      <c r="S1578" s="180">
        <v>4.2919999999999998</v>
      </c>
    </row>
    <row r="1579" spans="18:19">
      <c r="R1579" s="199">
        <v>43910</v>
      </c>
      <c r="S1579" s="180">
        <v>4.2919999999999998</v>
      </c>
    </row>
    <row r="1580" spans="18:19">
      <c r="R1580" s="199">
        <v>43913</v>
      </c>
      <c r="S1580" s="180">
        <v>4.2919999999999998</v>
      </c>
    </row>
    <row r="1581" spans="18:19">
      <c r="R1581" s="199">
        <v>43914</v>
      </c>
      <c r="S1581" s="180">
        <v>4.2919999999999998</v>
      </c>
    </row>
    <row r="1582" spans="18:19">
      <c r="R1582" s="199">
        <v>43915</v>
      </c>
      <c r="S1582" s="180">
        <v>4.2919999999999998</v>
      </c>
    </row>
    <row r="1583" spans="18:19">
      <c r="R1583" s="199">
        <v>43916</v>
      </c>
      <c r="S1583" s="180">
        <v>4.2919999999999998</v>
      </c>
    </row>
    <row r="1584" spans="18:19">
      <c r="R1584" s="199">
        <v>43917</v>
      </c>
      <c r="S1584" s="180">
        <v>4.2919999999999998</v>
      </c>
    </row>
    <row r="1585" spans="18:19">
      <c r="R1585" s="199">
        <v>43920</v>
      </c>
      <c r="S1585" s="180">
        <v>4.2919999999999998</v>
      </c>
    </row>
    <row r="1586" spans="18:19">
      <c r="R1586" s="199">
        <v>43921</v>
      </c>
      <c r="S1586" s="180">
        <v>4.2919999999999998</v>
      </c>
    </row>
    <row r="1587" spans="18:19">
      <c r="R1587" s="199">
        <v>43922</v>
      </c>
      <c r="S1587" s="180">
        <v>4.2919999999999998</v>
      </c>
    </row>
    <row r="1588" spans="18:19">
      <c r="R1588" s="199">
        <v>43923</v>
      </c>
      <c r="S1588" s="180">
        <v>4.2919999999999998</v>
      </c>
    </row>
    <row r="1589" spans="18:19">
      <c r="R1589" s="199">
        <v>43924</v>
      </c>
      <c r="S1589" s="180">
        <v>4.2919999999999998</v>
      </c>
    </row>
    <row r="1590" spans="18:19">
      <c r="R1590" s="199">
        <v>43927</v>
      </c>
      <c r="S1590" s="180">
        <v>4.2919999999999998</v>
      </c>
    </row>
    <row r="1591" spans="18:19">
      <c r="R1591" s="199">
        <v>43928</v>
      </c>
      <c r="S1591" s="180">
        <v>4.2919999999999998</v>
      </c>
    </row>
    <row r="1592" spans="18:19">
      <c r="R1592" s="199">
        <v>43929</v>
      </c>
      <c r="S1592" s="180">
        <v>4.2919999999999998</v>
      </c>
    </row>
    <row r="1593" spans="18:19">
      <c r="R1593" s="199">
        <v>43930</v>
      </c>
      <c r="S1593" s="180">
        <v>4.2919999999999998</v>
      </c>
    </row>
    <row r="1594" spans="18:19">
      <c r="R1594" s="199">
        <v>43935</v>
      </c>
      <c r="S1594" s="180">
        <v>4.2919999999999998</v>
      </c>
    </row>
    <row r="1595" spans="18:19">
      <c r="R1595" s="199">
        <v>43936</v>
      </c>
      <c r="S1595" s="180">
        <v>4.2919999999999998</v>
      </c>
    </row>
    <row r="1596" spans="18:19">
      <c r="R1596" s="199">
        <v>43937</v>
      </c>
      <c r="S1596" s="180">
        <v>4.2919999999999998</v>
      </c>
    </row>
    <row r="1597" spans="18:19">
      <c r="R1597" s="199">
        <v>43938</v>
      </c>
      <c r="S1597" s="180">
        <v>4.2919999999999998</v>
      </c>
    </row>
    <row r="1598" spans="18:19">
      <c r="R1598" s="199">
        <v>43941</v>
      </c>
      <c r="S1598" s="180">
        <v>4.2919999999999998</v>
      </c>
    </row>
    <row r="1599" spans="18:19">
      <c r="R1599" s="199">
        <v>43942</v>
      </c>
      <c r="S1599" s="180">
        <v>4.2919999999999998</v>
      </c>
    </row>
    <row r="1600" spans="18:19">
      <c r="R1600" s="199">
        <v>43943</v>
      </c>
      <c r="S1600" s="180">
        <v>4.2919999999999998</v>
      </c>
    </row>
    <row r="1601" spans="18:19">
      <c r="R1601" s="199">
        <v>43944</v>
      </c>
      <c r="S1601" s="180">
        <v>4.2919999999999998</v>
      </c>
    </row>
    <row r="1602" spans="18:19">
      <c r="R1602" s="199">
        <v>43945</v>
      </c>
      <c r="S1602" s="180">
        <v>4.2919999999999998</v>
      </c>
    </row>
    <row r="1603" spans="18:19">
      <c r="R1603" s="199">
        <v>43948</v>
      </c>
      <c r="S1603" s="180">
        <v>4.2919999999999998</v>
      </c>
    </row>
    <row r="1604" spans="18:19">
      <c r="R1604" s="199">
        <v>43949</v>
      </c>
      <c r="S1604" s="180">
        <v>4.2919999999999998</v>
      </c>
    </row>
    <row r="1605" spans="18:19">
      <c r="R1605" s="199">
        <v>43950</v>
      </c>
      <c r="S1605" s="180">
        <v>4.2919999999999998</v>
      </c>
    </row>
    <row r="1606" spans="18:19">
      <c r="R1606" s="199">
        <v>43951</v>
      </c>
      <c r="S1606" s="180">
        <v>4.2919999999999998</v>
      </c>
    </row>
    <row r="1607" spans="18:19">
      <c r="R1607" s="199">
        <v>43952</v>
      </c>
      <c r="S1607" s="180">
        <v>4.2919999999999998</v>
      </c>
    </row>
    <row r="1608" spans="18:19">
      <c r="R1608" s="199">
        <v>43955</v>
      </c>
      <c r="S1608" s="180">
        <v>4.2919999999999998</v>
      </c>
    </row>
    <row r="1609" spans="18:19">
      <c r="R1609" s="199">
        <v>43956</v>
      </c>
      <c r="S1609" s="180">
        <v>4.2919999999999998</v>
      </c>
    </row>
    <row r="1610" spans="18:19">
      <c r="R1610" s="199">
        <v>43957</v>
      </c>
      <c r="S1610" s="180">
        <v>4.2919999999999998</v>
      </c>
    </row>
    <row r="1611" spans="18:19">
      <c r="R1611" s="199">
        <v>43958</v>
      </c>
      <c r="S1611" s="180">
        <v>4.2919999999999998</v>
      </c>
    </row>
    <row r="1612" spans="18:19">
      <c r="R1612" s="199">
        <v>43959</v>
      </c>
      <c r="S1612" s="180">
        <v>4.2919999999999998</v>
      </c>
    </row>
    <row r="1613" spans="18:19">
      <c r="R1613" s="199">
        <v>43962</v>
      </c>
      <c r="S1613" s="180">
        <v>4.2919999999999998</v>
      </c>
    </row>
    <row r="1614" spans="18:19">
      <c r="R1614" s="199">
        <v>43963</v>
      </c>
      <c r="S1614" s="180">
        <v>4.2919999999999998</v>
      </c>
    </row>
    <row r="1615" spans="18:19">
      <c r="R1615" s="199">
        <v>43964</v>
      </c>
      <c r="S1615" s="180">
        <v>4.2919999999999998</v>
      </c>
    </row>
    <row r="1616" spans="18:19">
      <c r="R1616" s="199">
        <v>43965</v>
      </c>
      <c r="S1616" s="180">
        <v>4.2919999999999998</v>
      </c>
    </row>
    <row r="1617" spans="18:19">
      <c r="R1617" s="199">
        <v>43966</v>
      </c>
      <c r="S1617" s="180">
        <v>4.2919999999999998</v>
      </c>
    </row>
    <row r="1618" spans="18:19">
      <c r="R1618" s="199">
        <v>43969</v>
      </c>
      <c r="S1618" s="180">
        <v>4.2919999999999998</v>
      </c>
    </row>
    <row r="1619" spans="18:19">
      <c r="R1619" s="199">
        <v>43970</v>
      </c>
      <c r="S1619" s="180">
        <v>4.2919999999999998</v>
      </c>
    </row>
    <row r="1620" spans="18:19">
      <c r="R1620" s="199">
        <v>43971</v>
      </c>
      <c r="S1620" s="180">
        <v>4.2919999999999998</v>
      </c>
    </row>
    <row r="1621" spans="18:19">
      <c r="R1621" s="199">
        <v>43972</v>
      </c>
      <c r="S1621" s="180">
        <v>4.2919999999999998</v>
      </c>
    </row>
    <row r="1622" spans="18:19">
      <c r="R1622" s="199">
        <v>43973</v>
      </c>
      <c r="S1622" s="180">
        <v>4.2919999999999998</v>
      </c>
    </row>
    <row r="1623" spans="18:19">
      <c r="R1623" s="199">
        <v>43976</v>
      </c>
      <c r="S1623" s="180">
        <v>4.2919999999999998</v>
      </c>
    </row>
    <row r="1624" spans="18:19">
      <c r="R1624" s="199">
        <v>43977</v>
      </c>
      <c r="S1624" s="180">
        <v>4.2919999999999998</v>
      </c>
    </row>
    <row r="1625" spans="18:19">
      <c r="R1625" s="199">
        <v>43978</v>
      </c>
      <c r="S1625" s="180">
        <v>4.2919999999999998</v>
      </c>
    </row>
    <row r="1626" spans="18:19">
      <c r="R1626" s="199">
        <v>43979</v>
      </c>
      <c r="S1626" s="180">
        <v>4.2919999999999998</v>
      </c>
    </row>
    <row r="1627" spans="18:19">
      <c r="R1627" s="199">
        <v>43980</v>
      </c>
      <c r="S1627" s="180">
        <v>4.2919999999999998</v>
      </c>
    </row>
    <row r="1628" spans="18:19">
      <c r="R1628" s="199">
        <v>43983</v>
      </c>
      <c r="S1628" s="180">
        <v>4.2919999999999998</v>
      </c>
    </row>
    <row r="1629" spans="18:19">
      <c r="R1629" s="199">
        <v>43984</v>
      </c>
      <c r="S1629" s="180">
        <v>4.2919999999999998</v>
      </c>
    </row>
    <row r="1630" spans="18:19">
      <c r="R1630" s="199">
        <v>43985</v>
      </c>
      <c r="S1630" s="180">
        <v>4.2919999999999998</v>
      </c>
    </row>
    <row r="1631" spans="18:19">
      <c r="R1631" s="199">
        <v>43986</v>
      </c>
      <c r="S1631" s="180">
        <v>4.2919999999999998</v>
      </c>
    </row>
    <row r="1632" spans="18:19">
      <c r="R1632" s="199">
        <v>43987</v>
      </c>
      <c r="S1632" s="180">
        <v>4.2919999999999998</v>
      </c>
    </row>
    <row r="1633" spans="18:19">
      <c r="R1633" s="199">
        <v>43991</v>
      </c>
      <c r="S1633" s="180">
        <v>4.2919999999999998</v>
      </c>
    </row>
    <row r="1634" spans="18:19">
      <c r="R1634" s="199">
        <v>43992</v>
      </c>
      <c r="S1634" s="180">
        <v>4.2919999999999998</v>
      </c>
    </row>
    <row r="1635" spans="18:19">
      <c r="R1635" s="199">
        <v>43993</v>
      </c>
      <c r="S1635" s="180">
        <v>4.2919999999999998</v>
      </c>
    </row>
    <row r="1636" spans="18:19">
      <c r="R1636" s="199">
        <v>43994</v>
      </c>
      <c r="S1636" s="180">
        <v>4.2919999999999998</v>
      </c>
    </row>
    <row r="1637" spans="18:19">
      <c r="R1637" s="199">
        <v>43997</v>
      </c>
      <c r="S1637" s="180">
        <v>4.2919999999999998</v>
      </c>
    </row>
    <row r="1638" spans="18:19">
      <c r="R1638" s="199">
        <v>43998</v>
      </c>
      <c r="S1638" s="180">
        <v>4.2919999999999998</v>
      </c>
    </row>
    <row r="1639" spans="18:19">
      <c r="R1639" s="199">
        <v>43999</v>
      </c>
      <c r="S1639" s="180">
        <v>4.2919999999999998</v>
      </c>
    </row>
    <row r="1640" spans="18:19">
      <c r="R1640" s="199">
        <v>44000</v>
      </c>
      <c r="S1640" s="180">
        <v>4.2919999999999998</v>
      </c>
    </row>
    <row r="1641" spans="18:19">
      <c r="R1641" s="199">
        <v>44001</v>
      </c>
      <c r="S1641" s="180">
        <v>4.2919999999999998</v>
      </c>
    </row>
    <row r="1642" spans="18:19">
      <c r="R1642" s="199">
        <v>44004</v>
      </c>
      <c r="S1642" s="180">
        <v>4.2919999999999998</v>
      </c>
    </row>
    <row r="1643" spans="18:19">
      <c r="R1643" s="199">
        <v>44005</v>
      </c>
      <c r="S1643" s="180">
        <v>4.2919999999999998</v>
      </c>
    </row>
    <row r="1644" spans="18:19">
      <c r="R1644" s="199">
        <v>44006</v>
      </c>
      <c r="S1644" s="180">
        <v>4.2919999999999998</v>
      </c>
    </row>
    <row r="1645" spans="18:19">
      <c r="R1645" s="199">
        <v>44007</v>
      </c>
      <c r="S1645" s="180">
        <v>4.2919999999999998</v>
      </c>
    </row>
    <row r="1646" spans="18:19">
      <c r="R1646" s="199">
        <v>44008</v>
      </c>
      <c r="S1646" s="180">
        <v>4.2919999999999998</v>
      </c>
    </row>
    <row r="1647" spans="18:19">
      <c r="R1647" s="199">
        <v>44011</v>
      </c>
      <c r="S1647" s="180">
        <v>4.2919999999999998</v>
      </c>
    </row>
    <row r="1648" spans="18:19">
      <c r="R1648" s="199">
        <v>44012</v>
      </c>
      <c r="S1648" s="180">
        <v>4.2919999999999998</v>
      </c>
    </row>
    <row r="1649" spans="18:19">
      <c r="R1649" s="199">
        <v>44013</v>
      </c>
      <c r="S1649" s="180">
        <v>4.2919999999999998</v>
      </c>
    </row>
    <row r="1650" spans="18:19">
      <c r="R1650" s="199">
        <v>44014</v>
      </c>
      <c r="S1650" s="180">
        <v>4.2919999999999998</v>
      </c>
    </row>
    <row r="1651" spans="18:19">
      <c r="R1651" s="199">
        <v>44015</v>
      </c>
      <c r="S1651" s="180">
        <v>4.2919999999999998</v>
      </c>
    </row>
    <row r="1652" spans="18:19">
      <c r="R1652" s="199">
        <v>44018</v>
      </c>
      <c r="S1652" s="180">
        <v>4.2919999999999998</v>
      </c>
    </row>
    <row r="1653" spans="18:19">
      <c r="R1653" s="199">
        <v>44019</v>
      </c>
      <c r="S1653" s="180">
        <v>4.2919999999999998</v>
      </c>
    </row>
    <row r="1654" spans="18:19">
      <c r="R1654" s="199">
        <v>44020</v>
      </c>
      <c r="S1654" s="180">
        <v>4.2919999999999998</v>
      </c>
    </row>
    <row r="1655" spans="18:19">
      <c r="R1655" s="199">
        <v>44021</v>
      </c>
      <c r="S1655" s="180">
        <v>4.2919999999999998</v>
      </c>
    </row>
    <row r="1656" spans="18:19">
      <c r="R1656" s="199">
        <v>44022</v>
      </c>
      <c r="S1656" s="180">
        <v>4.2919999999999998</v>
      </c>
    </row>
    <row r="1657" spans="18:19">
      <c r="R1657" s="199">
        <v>44025</v>
      </c>
      <c r="S1657" s="180">
        <v>4.2919999999999998</v>
      </c>
    </row>
    <row r="1658" spans="18:19">
      <c r="R1658" s="199">
        <v>44026</v>
      </c>
      <c r="S1658" s="180">
        <v>4.2919999999999998</v>
      </c>
    </row>
    <row r="1659" spans="18:19">
      <c r="R1659" s="199">
        <v>44027</v>
      </c>
      <c r="S1659" s="180">
        <v>4.2919999999999998</v>
      </c>
    </row>
    <row r="1660" spans="18:19">
      <c r="R1660" s="199">
        <v>44028</v>
      </c>
      <c r="S1660" s="180">
        <v>4.2919999999999998</v>
      </c>
    </row>
    <row r="1661" spans="18:19">
      <c r="R1661" s="199">
        <v>44029</v>
      </c>
      <c r="S1661" s="180">
        <v>4.2919999999999998</v>
      </c>
    </row>
    <row r="1662" spans="18:19">
      <c r="R1662" s="199">
        <v>44032</v>
      </c>
      <c r="S1662" s="180">
        <v>4.2919999999999998</v>
      </c>
    </row>
    <row r="1663" spans="18:19">
      <c r="R1663" s="199">
        <v>44033</v>
      </c>
      <c r="S1663" s="180">
        <v>4.2919999999999998</v>
      </c>
    </row>
    <row r="1664" spans="18:19">
      <c r="R1664" s="199">
        <v>44034</v>
      </c>
      <c r="S1664" s="180">
        <v>4.2919999999999998</v>
      </c>
    </row>
    <row r="1665" spans="18:19">
      <c r="R1665" s="199">
        <v>44035</v>
      </c>
      <c r="S1665" s="180">
        <v>4.2919999999999998</v>
      </c>
    </row>
    <row r="1666" spans="18:19">
      <c r="R1666" s="199">
        <v>44036</v>
      </c>
      <c r="S1666" s="180">
        <v>4.2919999999999998</v>
      </c>
    </row>
    <row r="1667" spans="18:19">
      <c r="R1667" s="199">
        <v>44039</v>
      </c>
      <c r="S1667" s="180">
        <v>4.2919999999999998</v>
      </c>
    </row>
    <row r="1668" spans="18:19">
      <c r="R1668" s="199">
        <v>44040</v>
      </c>
      <c r="S1668" s="180">
        <v>4.2919999999999998</v>
      </c>
    </row>
    <row r="1669" spans="18:19">
      <c r="R1669" s="199">
        <v>44041</v>
      </c>
      <c r="S1669" s="180">
        <v>4.2919999999999998</v>
      </c>
    </row>
    <row r="1670" spans="18:19">
      <c r="R1670" s="199">
        <v>44042</v>
      </c>
      <c r="S1670" s="180">
        <v>4.2919999999999998</v>
      </c>
    </row>
    <row r="1671" spans="18:19">
      <c r="R1671" s="199">
        <v>44043</v>
      </c>
      <c r="S1671" s="180">
        <v>4.2919999999999998</v>
      </c>
    </row>
    <row r="1672" spans="18:19">
      <c r="R1672" s="199">
        <v>44046</v>
      </c>
      <c r="S1672" s="180">
        <v>4.2919999999999998</v>
      </c>
    </row>
    <row r="1673" spans="18:19">
      <c r="R1673" s="199">
        <v>44047</v>
      </c>
      <c r="S1673" s="180">
        <v>4.2919999999999998</v>
      </c>
    </row>
    <row r="1674" spans="18:19">
      <c r="R1674" s="199">
        <v>44048</v>
      </c>
      <c r="S1674" s="180">
        <v>4.2919999999999998</v>
      </c>
    </row>
    <row r="1675" spans="18:19">
      <c r="R1675" s="199">
        <v>44049</v>
      </c>
      <c r="S1675" s="180">
        <v>4.2919999999999998</v>
      </c>
    </row>
    <row r="1676" spans="18:19">
      <c r="R1676" s="199">
        <v>44050</v>
      </c>
      <c r="S1676" s="180">
        <v>4.2919999999999998</v>
      </c>
    </row>
    <row r="1677" spans="18:19">
      <c r="R1677" s="199">
        <v>44053</v>
      </c>
      <c r="S1677" s="180">
        <v>4.2919999999999998</v>
      </c>
    </row>
    <row r="1678" spans="18:19">
      <c r="R1678" s="199">
        <v>44054</v>
      </c>
      <c r="S1678" s="180">
        <v>4.2919999999999998</v>
      </c>
    </row>
    <row r="1679" spans="18:19">
      <c r="R1679" s="199">
        <v>44055</v>
      </c>
      <c r="S1679" s="180">
        <v>4.2919999999999998</v>
      </c>
    </row>
    <row r="1680" spans="18:19">
      <c r="R1680" s="199">
        <v>44056</v>
      </c>
      <c r="S1680" s="180">
        <v>4.2919999999999998</v>
      </c>
    </row>
    <row r="1681" spans="18:19">
      <c r="R1681" s="199">
        <v>44057</v>
      </c>
      <c r="S1681" s="180">
        <v>4.2919999999999998</v>
      </c>
    </row>
    <row r="1682" spans="18:19">
      <c r="R1682" s="199">
        <v>44060</v>
      </c>
      <c r="S1682" s="180">
        <v>4.2919999999999998</v>
      </c>
    </row>
    <row r="1683" spans="18:19">
      <c r="R1683" s="199">
        <v>44061</v>
      </c>
      <c r="S1683" s="180">
        <v>4.2919999999999998</v>
      </c>
    </row>
    <row r="1684" spans="18:19">
      <c r="R1684" s="199">
        <v>44062</v>
      </c>
      <c r="S1684" s="180">
        <v>4.2919999999999998</v>
      </c>
    </row>
    <row r="1685" spans="18:19">
      <c r="R1685" s="199">
        <v>44063</v>
      </c>
      <c r="S1685" s="180">
        <v>4.2919999999999998</v>
      </c>
    </row>
    <row r="1686" spans="18:19">
      <c r="R1686" s="199">
        <v>44064</v>
      </c>
      <c r="S1686" s="180">
        <v>4.2919999999999998</v>
      </c>
    </row>
    <row r="1687" spans="18:19">
      <c r="R1687" s="199">
        <v>44067</v>
      </c>
      <c r="S1687" s="180">
        <v>4.2919999999999998</v>
      </c>
    </row>
    <row r="1688" spans="18:19">
      <c r="R1688" s="199">
        <v>44068</v>
      </c>
      <c r="S1688" s="180">
        <v>4.2919999999999998</v>
      </c>
    </row>
    <row r="1689" spans="18:19">
      <c r="R1689" s="199">
        <v>44069</v>
      </c>
      <c r="S1689" s="180">
        <v>4.2919999999999998</v>
      </c>
    </row>
    <row r="1690" spans="18:19">
      <c r="R1690" s="199">
        <v>44070</v>
      </c>
      <c r="S1690" s="180">
        <v>4.2919999999999998</v>
      </c>
    </row>
    <row r="1691" spans="18:19">
      <c r="R1691" s="199">
        <v>44071</v>
      </c>
      <c r="S1691" s="180">
        <v>4.2919999999999998</v>
      </c>
    </row>
    <row r="1692" spans="18:19">
      <c r="R1692" s="199">
        <v>44074</v>
      </c>
      <c r="S1692" s="180">
        <v>4.2919999999999998</v>
      </c>
    </row>
    <row r="1693" spans="18:19">
      <c r="R1693" s="199">
        <v>44075</v>
      </c>
      <c r="S1693" s="180">
        <v>4.2919999999999998</v>
      </c>
    </row>
    <row r="1694" spans="18:19">
      <c r="R1694" s="199">
        <v>44076</v>
      </c>
      <c r="S1694" s="180">
        <v>4.2919999999999998</v>
      </c>
    </row>
    <row r="1695" spans="18:19">
      <c r="R1695" s="199">
        <v>44077</v>
      </c>
      <c r="S1695" s="180">
        <v>4.2919999999999998</v>
      </c>
    </row>
    <row r="1696" spans="18:19">
      <c r="R1696" s="199">
        <v>44078</v>
      </c>
      <c r="S1696" s="180">
        <v>4.2919999999999998</v>
      </c>
    </row>
    <row r="1697" spans="18:19">
      <c r="R1697" s="199">
        <v>44081</v>
      </c>
      <c r="S1697" s="180">
        <v>4.2919999999999998</v>
      </c>
    </row>
    <row r="1698" spans="18:19">
      <c r="R1698" s="199">
        <v>44082</v>
      </c>
      <c r="S1698" s="180">
        <v>4.2919999999999998</v>
      </c>
    </row>
    <row r="1699" spans="18:19">
      <c r="R1699" s="199">
        <v>44083</v>
      </c>
      <c r="S1699" s="180">
        <v>4.2919999999999998</v>
      </c>
    </row>
    <row r="1700" spans="18:19">
      <c r="R1700" s="199">
        <v>44084</v>
      </c>
      <c r="S1700" s="180">
        <v>4.2919999999999998</v>
      </c>
    </row>
    <row r="1701" spans="18:19">
      <c r="R1701" s="199">
        <v>44085</v>
      </c>
      <c r="S1701" s="180">
        <v>4.2919999999999998</v>
      </c>
    </row>
    <row r="1702" spans="18:19">
      <c r="R1702" s="199">
        <v>44088</v>
      </c>
      <c r="S1702" s="180">
        <v>4.2919999999999998</v>
      </c>
    </row>
    <row r="1703" spans="18:19">
      <c r="R1703" s="199">
        <v>44089</v>
      </c>
      <c r="S1703" s="180">
        <v>4.2919999999999998</v>
      </c>
    </row>
    <row r="1704" spans="18:19">
      <c r="R1704" s="199">
        <v>44090</v>
      </c>
      <c r="S1704" s="180">
        <v>4.2919999999999998</v>
      </c>
    </row>
    <row r="1705" spans="18:19">
      <c r="R1705" s="199">
        <v>44091</v>
      </c>
      <c r="S1705" s="180">
        <v>4.2919999999999998</v>
      </c>
    </row>
    <row r="1706" spans="18:19">
      <c r="R1706" s="199">
        <v>44092</v>
      </c>
      <c r="S1706" s="180">
        <v>4.2919999999999998</v>
      </c>
    </row>
    <row r="1707" spans="18:19">
      <c r="R1707" s="199">
        <v>44095</v>
      </c>
      <c r="S1707" s="180">
        <v>4.2919999999999998</v>
      </c>
    </row>
    <row r="1708" spans="18:19">
      <c r="R1708" s="199">
        <v>44096</v>
      </c>
      <c r="S1708" s="180">
        <v>4.2919999999999998</v>
      </c>
    </row>
    <row r="1709" spans="18:19">
      <c r="R1709" s="199">
        <v>44097</v>
      </c>
      <c r="S1709" s="180">
        <v>4.2919999999999998</v>
      </c>
    </row>
    <row r="1710" spans="18:19">
      <c r="R1710" s="199">
        <v>44098</v>
      </c>
      <c r="S1710" s="180">
        <v>4.2919999999999998</v>
      </c>
    </row>
    <row r="1711" spans="18:19">
      <c r="R1711" s="199">
        <v>44099</v>
      </c>
      <c r="S1711" s="180">
        <v>4.2919999999999998</v>
      </c>
    </row>
    <row r="1712" spans="18:19">
      <c r="R1712" s="199">
        <v>44102</v>
      </c>
      <c r="S1712" s="180">
        <v>4.2919999999999998</v>
      </c>
    </row>
    <row r="1713" spans="18:19">
      <c r="R1713" s="199">
        <v>44103</v>
      </c>
      <c r="S1713" s="180">
        <v>4.2919999999999998</v>
      </c>
    </row>
    <row r="1714" spans="18:19">
      <c r="R1714" s="199">
        <v>44104</v>
      </c>
      <c r="S1714" s="180">
        <v>4.2919999999999998</v>
      </c>
    </row>
    <row r="1715" spans="18:19">
      <c r="R1715" s="199">
        <v>44105</v>
      </c>
      <c r="S1715" s="180">
        <v>4.2919999999999998</v>
      </c>
    </row>
    <row r="1716" spans="18:19">
      <c r="R1716" s="199">
        <v>44106</v>
      </c>
      <c r="S1716" s="180">
        <v>4.2919999999999998</v>
      </c>
    </row>
    <row r="1717" spans="18:19">
      <c r="R1717" s="199">
        <v>44109</v>
      </c>
      <c r="S1717" s="180">
        <v>4.2919999999999998</v>
      </c>
    </row>
    <row r="1718" spans="18:19">
      <c r="R1718" s="199">
        <v>44110</v>
      </c>
      <c r="S1718" s="180">
        <v>4.2919999999999998</v>
      </c>
    </row>
    <row r="1719" spans="18:19">
      <c r="R1719" s="199">
        <v>44111</v>
      </c>
      <c r="S1719" s="180">
        <v>4.2919999999999998</v>
      </c>
    </row>
    <row r="1720" spans="18:19">
      <c r="R1720" s="199">
        <v>44112</v>
      </c>
      <c r="S1720" s="180">
        <v>4.2919999999999998</v>
      </c>
    </row>
    <row r="1721" spans="18:19">
      <c r="R1721" s="199">
        <v>44113</v>
      </c>
      <c r="S1721" s="180">
        <v>4.2919999999999998</v>
      </c>
    </row>
    <row r="1722" spans="18:19">
      <c r="R1722" s="199">
        <v>44116</v>
      </c>
      <c r="S1722" s="180">
        <v>4.2919999999999998</v>
      </c>
    </row>
    <row r="1723" spans="18:19">
      <c r="R1723" s="199">
        <v>44117</v>
      </c>
      <c r="S1723" s="180">
        <v>4.2919999999999998</v>
      </c>
    </row>
    <row r="1724" spans="18:19">
      <c r="R1724" s="199">
        <v>44118</v>
      </c>
      <c r="S1724" s="180">
        <v>4.2919999999999998</v>
      </c>
    </row>
    <row r="1725" spans="18:19">
      <c r="R1725" s="199">
        <v>44119</v>
      </c>
      <c r="S1725" s="180">
        <v>4.2919999999999998</v>
      </c>
    </row>
    <row r="1726" spans="18:19">
      <c r="R1726" s="199">
        <v>44120</v>
      </c>
      <c r="S1726" s="180">
        <v>4.2919999999999998</v>
      </c>
    </row>
    <row r="1727" spans="18:19">
      <c r="R1727" s="199">
        <v>44123</v>
      </c>
      <c r="S1727" s="180">
        <v>4.2919999999999998</v>
      </c>
    </row>
    <row r="1728" spans="18:19">
      <c r="R1728" s="199">
        <v>44124</v>
      </c>
      <c r="S1728" s="180">
        <v>4.2919999999999998</v>
      </c>
    </row>
    <row r="1729" spans="18:19">
      <c r="R1729" s="199">
        <v>44125</v>
      </c>
      <c r="S1729" s="180">
        <v>4.2919999999999998</v>
      </c>
    </row>
    <row r="1730" spans="18:19">
      <c r="R1730" s="199">
        <v>44126</v>
      </c>
      <c r="S1730" s="180">
        <v>4.2919999999999998</v>
      </c>
    </row>
    <row r="1731" spans="18:19">
      <c r="R1731" s="199">
        <v>44127</v>
      </c>
      <c r="S1731" s="180">
        <v>4.2919999999999998</v>
      </c>
    </row>
    <row r="1732" spans="18:19">
      <c r="R1732" s="199">
        <v>44130</v>
      </c>
      <c r="S1732" s="180">
        <v>4.2919999999999998</v>
      </c>
    </row>
    <row r="1733" spans="18:19">
      <c r="R1733" s="199">
        <v>44131</v>
      </c>
      <c r="S1733" s="180">
        <v>4.2919999999999998</v>
      </c>
    </row>
    <row r="1734" spans="18:19">
      <c r="R1734" s="199">
        <v>44132</v>
      </c>
      <c r="S1734" s="180">
        <v>4.2919999999999998</v>
      </c>
    </row>
    <row r="1735" spans="18:19">
      <c r="R1735" s="199">
        <v>44133</v>
      </c>
      <c r="S1735" s="180">
        <v>4.2919999999999998</v>
      </c>
    </row>
    <row r="1736" spans="18:19">
      <c r="R1736" s="199">
        <v>44134</v>
      </c>
      <c r="S1736" s="180">
        <v>4.2919999999999998</v>
      </c>
    </row>
    <row r="1737" spans="18:19">
      <c r="R1737" s="199">
        <v>44137</v>
      </c>
      <c r="S1737" s="180">
        <v>4.2919999999999998</v>
      </c>
    </row>
    <row r="1738" spans="18:19">
      <c r="R1738" s="199">
        <v>44138</v>
      </c>
      <c r="S1738" s="180">
        <v>4.2919999999999998</v>
      </c>
    </row>
    <row r="1739" spans="18:19">
      <c r="R1739" s="199">
        <v>44139</v>
      </c>
      <c r="S1739" s="180">
        <v>4.2919999999999998</v>
      </c>
    </row>
    <row r="1740" spans="18:19">
      <c r="R1740" s="199">
        <v>44140</v>
      </c>
      <c r="S1740" s="180">
        <v>4.2919999999999998</v>
      </c>
    </row>
    <row r="1741" spans="18:19">
      <c r="R1741" s="199">
        <v>44141</v>
      </c>
      <c r="S1741" s="180">
        <v>4.2919999999999998</v>
      </c>
    </row>
    <row r="1742" spans="18:19">
      <c r="R1742" s="199">
        <v>44144</v>
      </c>
      <c r="S1742" s="180">
        <v>4.2919999999999998</v>
      </c>
    </row>
    <row r="1743" spans="18:19">
      <c r="R1743" s="199">
        <v>44145</v>
      </c>
      <c r="S1743" s="180">
        <v>4.2919999999999998</v>
      </c>
    </row>
    <row r="1744" spans="18:19">
      <c r="R1744" s="199">
        <v>44146</v>
      </c>
      <c r="S1744" s="180">
        <v>4.2919999999999998</v>
      </c>
    </row>
    <row r="1745" spans="18:19">
      <c r="R1745" s="199">
        <v>44147</v>
      </c>
      <c r="S1745" s="180">
        <v>4.2919999999999998</v>
      </c>
    </row>
    <row r="1746" spans="18:19">
      <c r="R1746" s="199">
        <v>44148</v>
      </c>
      <c r="S1746" s="180">
        <v>4.2919999999999998</v>
      </c>
    </row>
    <row r="1747" spans="18:19">
      <c r="R1747" s="199">
        <v>44151</v>
      </c>
      <c r="S1747" s="180">
        <v>4.2919999999999998</v>
      </c>
    </row>
    <row r="1748" spans="18:19">
      <c r="R1748" s="199">
        <v>44152</v>
      </c>
      <c r="S1748" s="180">
        <v>4.2919999999999998</v>
      </c>
    </row>
    <row r="1749" spans="18:19">
      <c r="R1749" s="199">
        <v>44153</v>
      </c>
      <c r="S1749" s="180">
        <v>4.2919999999999998</v>
      </c>
    </row>
    <row r="1750" spans="18:19">
      <c r="R1750" s="199">
        <v>44154</v>
      </c>
      <c r="S1750" s="180">
        <v>4.2919999999999998</v>
      </c>
    </row>
    <row r="1751" spans="18:19">
      <c r="R1751" s="199">
        <v>44155</v>
      </c>
      <c r="S1751" s="180">
        <v>4.2919999999999998</v>
      </c>
    </row>
    <row r="1752" spans="18:19">
      <c r="R1752" s="199">
        <v>44158</v>
      </c>
      <c r="S1752" s="180">
        <v>4.2919999999999998</v>
      </c>
    </row>
    <row r="1753" spans="18:19">
      <c r="R1753" s="199">
        <v>44159</v>
      </c>
      <c r="S1753" s="180">
        <v>4.2919999999999998</v>
      </c>
    </row>
    <row r="1754" spans="18:19">
      <c r="R1754" s="199">
        <v>44160</v>
      </c>
      <c r="S1754" s="180">
        <v>4.2919999999999998</v>
      </c>
    </row>
    <row r="1755" spans="18:19">
      <c r="R1755" s="199">
        <v>44161</v>
      </c>
      <c r="S1755" s="180">
        <v>4.2919999999999998</v>
      </c>
    </row>
    <row r="1756" spans="18:19">
      <c r="R1756" s="199">
        <v>44162</v>
      </c>
      <c r="S1756" s="180">
        <v>4.2919999999999998</v>
      </c>
    </row>
    <row r="1757" spans="18:19">
      <c r="R1757" s="199">
        <v>44165</v>
      </c>
      <c r="S1757" s="180">
        <v>4.2919999999999998</v>
      </c>
    </row>
    <row r="1758" spans="18:19">
      <c r="R1758" s="199">
        <v>44166</v>
      </c>
      <c r="S1758" s="180">
        <v>4.2919999999999998</v>
      </c>
    </row>
    <row r="1759" spans="18:19">
      <c r="R1759" s="199">
        <v>44167</v>
      </c>
      <c r="S1759" s="180">
        <v>4.2919999999999998</v>
      </c>
    </row>
    <row r="1760" spans="18:19">
      <c r="R1760" s="199">
        <v>44168</v>
      </c>
      <c r="S1760" s="180">
        <v>4.2919999999999998</v>
      </c>
    </row>
    <row r="1761" spans="18:19">
      <c r="R1761" s="199">
        <v>44169</v>
      </c>
      <c r="S1761" s="180">
        <v>4.2919999999999998</v>
      </c>
    </row>
    <row r="1762" spans="18:19">
      <c r="R1762" s="199">
        <v>44172</v>
      </c>
      <c r="S1762" s="180">
        <v>4.2919999999999998</v>
      </c>
    </row>
    <row r="1763" spans="18:19">
      <c r="R1763" s="199">
        <v>44173</v>
      </c>
      <c r="S1763" s="180">
        <v>4.2919999999999998</v>
      </c>
    </row>
    <row r="1764" spans="18:19">
      <c r="R1764" s="199">
        <v>44174</v>
      </c>
      <c r="S1764" s="180">
        <v>4.2919999999999998</v>
      </c>
    </row>
    <row r="1765" spans="18:19">
      <c r="R1765" s="199">
        <v>44175</v>
      </c>
      <c r="S1765" s="180">
        <v>4.2919999999999998</v>
      </c>
    </row>
    <row r="1766" spans="18:19">
      <c r="R1766" s="199">
        <v>44176</v>
      </c>
      <c r="S1766" s="180">
        <v>4.2919999999999998</v>
      </c>
    </row>
    <row r="1767" spans="18:19">
      <c r="R1767" s="199">
        <v>44179</v>
      </c>
      <c r="S1767" s="180">
        <v>4.2919999999999998</v>
      </c>
    </row>
    <row r="1768" spans="18:19">
      <c r="R1768" s="199">
        <v>44180</v>
      </c>
      <c r="S1768" s="180">
        <v>4.2919999999999998</v>
      </c>
    </row>
    <row r="1769" spans="18:19">
      <c r="R1769" s="199">
        <v>44181</v>
      </c>
      <c r="S1769" s="180">
        <v>4.2919999999999998</v>
      </c>
    </row>
    <row r="1770" spans="18:19">
      <c r="R1770" s="199">
        <v>44182</v>
      </c>
      <c r="S1770" s="180">
        <v>4.2919999999999998</v>
      </c>
    </row>
    <row r="1771" spans="18:19">
      <c r="R1771" s="199">
        <v>44183</v>
      </c>
      <c r="S1771" s="180">
        <v>4.2919999999999998</v>
      </c>
    </row>
    <row r="1772" spans="18:19">
      <c r="R1772" s="199">
        <v>44186</v>
      </c>
      <c r="S1772" s="180">
        <v>4.2919999999999998</v>
      </c>
    </row>
    <row r="1773" spans="18:19">
      <c r="R1773" s="199">
        <v>44187</v>
      </c>
      <c r="S1773" s="180">
        <v>4.2919999999999998</v>
      </c>
    </row>
    <row r="1774" spans="18:19">
      <c r="R1774" s="199">
        <v>44188</v>
      </c>
      <c r="S1774" s="180">
        <v>4.2919999999999998</v>
      </c>
    </row>
    <row r="1775" spans="18:19">
      <c r="R1775" s="199">
        <v>44189</v>
      </c>
      <c r="S1775" s="180">
        <v>4.2919999999999998</v>
      </c>
    </row>
    <row r="1776" spans="18:19">
      <c r="R1776" s="199">
        <v>44194</v>
      </c>
      <c r="S1776" s="180">
        <v>4.2919999999999998</v>
      </c>
    </row>
    <row r="1777" spans="18:19">
      <c r="R1777" s="199">
        <v>44195</v>
      </c>
      <c r="S1777" s="180">
        <v>4.2919999999999998</v>
      </c>
    </row>
    <row r="1778" spans="18:19">
      <c r="R1778" s="199">
        <v>44196</v>
      </c>
      <c r="S1778" s="180">
        <v>4.2919999999999998</v>
      </c>
    </row>
    <row r="1779" spans="18:19">
      <c r="R1779" s="199">
        <v>44200</v>
      </c>
      <c r="S1779" s="180">
        <v>4.2919999999999998</v>
      </c>
    </row>
    <row r="1780" spans="18:19">
      <c r="R1780" s="199">
        <v>44201</v>
      </c>
      <c r="S1780" s="180">
        <v>4.2919999999999998</v>
      </c>
    </row>
    <row r="1781" spans="18:19">
      <c r="R1781" s="199">
        <v>44202</v>
      </c>
      <c r="S1781" s="180">
        <v>4.2919999999999998</v>
      </c>
    </row>
    <row r="1782" spans="18:19">
      <c r="R1782" s="199">
        <v>44203</v>
      </c>
      <c r="S1782" s="180">
        <v>4.2919999999999998</v>
      </c>
    </row>
    <row r="1783" spans="18:19">
      <c r="R1783" s="199">
        <v>44204</v>
      </c>
      <c r="S1783" s="180">
        <v>4.2919999999999998</v>
      </c>
    </row>
    <row r="1784" spans="18:19">
      <c r="R1784" s="199">
        <v>44207</v>
      </c>
      <c r="S1784" s="180">
        <v>4.2919999999999998</v>
      </c>
    </row>
    <row r="1785" spans="18:19">
      <c r="R1785" s="199">
        <v>44208</v>
      </c>
      <c r="S1785" s="180">
        <v>4.2919999999999998</v>
      </c>
    </row>
    <row r="1786" spans="18:19">
      <c r="R1786" s="199">
        <v>44209</v>
      </c>
      <c r="S1786" s="180">
        <v>4.2919999999999998</v>
      </c>
    </row>
    <row r="1787" spans="18:19">
      <c r="R1787" s="199">
        <v>44210</v>
      </c>
      <c r="S1787" s="180">
        <v>4.2919999999999998</v>
      </c>
    </row>
    <row r="1788" spans="18:19">
      <c r="R1788" s="199">
        <v>44211</v>
      </c>
      <c r="S1788" s="180">
        <v>4.2919999999999998</v>
      </c>
    </row>
    <row r="1789" spans="18:19">
      <c r="R1789" s="199">
        <v>44214</v>
      </c>
      <c r="S1789" s="180">
        <v>4.2919999999999998</v>
      </c>
    </row>
    <row r="1790" spans="18:19">
      <c r="R1790" s="199">
        <v>44215</v>
      </c>
      <c r="S1790" s="180">
        <v>4.2919999999999998</v>
      </c>
    </row>
    <row r="1791" spans="18:19">
      <c r="R1791" s="199">
        <v>44216</v>
      </c>
      <c r="S1791" s="180">
        <v>4.2919999999999998</v>
      </c>
    </row>
    <row r="1792" spans="18:19">
      <c r="R1792" s="199">
        <v>44217</v>
      </c>
      <c r="S1792" s="180">
        <v>4.2919999999999998</v>
      </c>
    </row>
    <row r="1793" spans="18:19">
      <c r="R1793" s="199">
        <v>44218</v>
      </c>
      <c r="S1793" s="180">
        <v>4.2919999999999998</v>
      </c>
    </row>
    <row r="1794" spans="18:19">
      <c r="R1794" s="199">
        <v>44221</v>
      </c>
      <c r="S1794" s="180">
        <v>4.2919999999999998</v>
      </c>
    </row>
    <row r="1795" spans="18:19">
      <c r="R1795" s="199">
        <v>44223</v>
      </c>
      <c r="S1795" s="180">
        <v>4.2919999999999998</v>
      </c>
    </row>
    <row r="1796" spans="18:19">
      <c r="R1796" s="199">
        <v>44224</v>
      </c>
      <c r="S1796" s="180">
        <v>4.2919999999999998</v>
      </c>
    </row>
    <row r="1797" spans="18:19">
      <c r="R1797" s="199">
        <v>44225</v>
      </c>
      <c r="S1797" s="180">
        <v>4.2919999999999998</v>
      </c>
    </row>
    <row r="1798" spans="18:19">
      <c r="R1798" s="199">
        <v>44228</v>
      </c>
      <c r="S1798" s="180">
        <v>4.2919999999999998</v>
      </c>
    </row>
    <row r="1799" spans="18:19">
      <c r="R1799" s="199">
        <v>44229</v>
      </c>
      <c r="S1799" s="180">
        <v>4.2919999999999998</v>
      </c>
    </row>
    <row r="1800" spans="18:19">
      <c r="R1800" s="199">
        <v>44230</v>
      </c>
      <c r="S1800" s="180">
        <v>4.2919999999999998</v>
      </c>
    </row>
    <row r="1801" spans="18:19">
      <c r="R1801" s="199">
        <v>44231</v>
      </c>
      <c r="S1801" s="180">
        <v>4.2919999999999998</v>
      </c>
    </row>
    <row r="1802" spans="18:19">
      <c r="R1802" s="199">
        <v>44232</v>
      </c>
      <c r="S1802" s="180">
        <v>4.2919999999999998</v>
      </c>
    </row>
    <row r="1803" spans="18:19">
      <c r="R1803" s="199">
        <v>44235</v>
      </c>
      <c r="S1803" s="180">
        <v>4.2919999999999998</v>
      </c>
    </row>
    <row r="1804" spans="18:19">
      <c r="R1804" s="199">
        <v>44236</v>
      </c>
      <c r="S1804" s="180">
        <v>4.2919999999999998</v>
      </c>
    </row>
    <row r="1805" spans="18:19">
      <c r="R1805" s="199">
        <v>44237</v>
      </c>
      <c r="S1805" s="180">
        <v>4.2919999999999998</v>
      </c>
    </row>
    <row r="1806" spans="18:19">
      <c r="R1806" s="199">
        <v>44238</v>
      </c>
      <c r="S1806" s="180">
        <v>4.2919999999999998</v>
      </c>
    </row>
    <row r="1807" spans="18:19">
      <c r="R1807" s="199">
        <v>44239</v>
      </c>
      <c r="S1807" s="180">
        <v>4.2919999999999998</v>
      </c>
    </row>
    <row r="1808" spans="18:19">
      <c r="R1808" s="199">
        <v>44242</v>
      </c>
      <c r="S1808" s="180">
        <v>4.2919999999999998</v>
      </c>
    </row>
    <row r="1809" spans="18:19">
      <c r="R1809" s="199">
        <v>44243</v>
      </c>
      <c r="S1809" s="180">
        <v>4.2919999999999998</v>
      </c>
    </row>
    <row r="1810" spans="18:19">
      <c r="R1810" s="199">
        <v>44244</v>
      </c>
      <c r="S1810" s="180">
        <v>4.2919999999999998</v>
      </c>
    </row>
    <row r="1811" spans="18:19">
      <c r="R1811" s="199">
        <v>44245</v>
      </c>
      <c r="S1811" s="180">
        <v>4.2919999999999998</v>
      </c>
    </row>
    <row r="1812" spans="18:19">
      <c r="R1812" s="199">
        <v>44246</v>
      </c>
      <c r="S1812" s="180">
        <v>4.2919999999999998</v>
      </c>
    </row>
    <row r="1813" spans="18:19">
      <c r="R1813" s="199">
        <v>44249</v>
      </c>
      <c r="S1813" s="180">
        <v>4.2919999999999998</v>
      </c>
    </row>
    <row r="1814" spans="18:19">
      <c r="R1814" s="199">
        <v>44250</v>
      </c>
      <c r="S1814" s="180">
        <v>4.2919999999999998</v>
      </c>
    </row>
    <row r="1815" spans="18:19">
      <c r="R1815" s="199">
        <v>44251</v>
      </c>
      <c r="S1815" s="180">
        <v>4.2919999999999998</v>
      </c>
    </row>
    <row r="1816" spans="18:19">
      <c r="R1816" s="199">
        <v>44252</v>
      </c>
      <c r="S1816" s="180">
        <v>4.2919999999999998</v>
      </c>
    </row>
    <row r="1817" spans="18:19">
      <c r="R1817" s="199">
        <v>44253</v>
      </c>
      <c r="S1817" s="180">
        <v>4.2919999999999998</v>
      </c>
    </row>
    <row r="1818" spans="18:19">
      <c r="R1818" s="199">
        <v>44256</v>
      </c>
      <c r="S1818" s="180">
        <v>4.2919999999999998</v>
      </c>
    </row>
    <row r="1819" spans="18:19">
      <c r="R1819" s="199">
        <v>44257</v>
      </c>
      <c r="S1819" s="180">
        <v>4.2919999999999998</v>
      </c>
    </row>
    <row r="1820" spans="18:19">
      <c r="R1820" s="199">
        <v>44258</v>
      </c>
      <c r="S1820" s="180">
        <v>4.2919999999999998</v>
      </c>
    </row>
    <row r="1821" spans="18:19">
      <c r="R1821" s="199">
        <v>44259</v>
      </c>
      <c r="S1821" s="180">
        <v>4.2919999999999998</v>
      </c>
    </row>
    <row r="1822" spans="18:19">
      <c r="R1822" s="199">
        <v>44260</v>
      </c>
      <c r="S1822" s="180">
        <v>4.2919999999999998</v>
      </c>
    </row>
    <row r="1823" spans="18:19">
      <c r="R1823" s="199">
        <v>44263</v>
      </c>
      <c r="S1823" s="180">
        <v>4.2919999999999998</v>
      </c>
    </row>
    <row r="1824" spans="18:19">
      <c r="R1824" s="199">
        <v>44264</v>
      </c>
      <c r="S1824" s="180">
        <v>4.2919999999999998</v>
      </c>
    </row>
    <row r="1825" spans="18:19">
      <c r="R1825" s="199">
        <v>44265</v>
      </c>
      <c r="S1825" s="180">
        <v>4.2919999999999998</v>
      </c>
    </row>
    <row r="1826" spans="18:19">
      <c r="R1826" s="199">
        <v>44266</v>
      </c>
      <c r="S1826" s="180">
        <v>4.2919999999999998</v>
      </c>
    </row>
    <row r="1827" spans="18:19">
      <c r="R1827" s="199">
        <v>44267</v>
      </c>
      <c r="S1827" s="180">
        <v>4.2919999999999998</v>
      </c>
    </row>
    <row r="1828" spans="18:19">
      <c r="R1828" s="199">
        <v>44270</v>
      </c>
      <c r="S1828" s="180">
        <v>4.2919999999999998</v>
      </c>
    </row>
    <row r="1829" spans="18:19">
      <c r="R1829" s="199">
        <v>44271</v>
      </c>
      <c r="S1829" s="180">
        <v>4.2919999999999998</v>
      </c>
    </row>
    <row r="1830" spans="18:19">
      <c r="R1830" s="199">
        <v>44272</v>
      </c>
      <c r="S1830" s="180">
        <v>4.2919999999999998</v>
      </c>
    </row>
    <row r="1831" spans="18:19">
      <c r="R1831" s="199">
        <v>44273</v>
      </c>
      <c r="S1831" s="180">
        <v>4.2919999999999998</v>
      </c>
    </row>
    <row r="1832" spans="18:19">
      <c r="R1832" s="199">
        <v>44274</v>
      </c>
      <c r="S1832" s="180">
        <v>4.2919999999999998</v>
      </c>
    </row>
    <row r="1833" spans="18:19">
      <c r="R1833" s="199">
        <v>44277</v>
      </c>
      <c r="S1833" s="180">
        <v>4.2919999999999998</v>
      </c>
    </row>
    <row r="1834" spans="18:19">
      <c r="R1834" s="199">
        <v>44278</v>
      </c>
      <c r="S1834" s="180">
        <v>4.2919999999999998</v>
      </c>
    </row>
    <row r="1835" spans="18:19">
      <c r="R1835" s="199">
        <v>44279</v>
      </c>
      <c r="S1835" s="180">
        <v>4.2919999999999998</v>
      </c>
    </row>
    <row r="1836" spans="18:19">
      <c r="R1836" s="199">
        <v>44280</v>
      </c>
      <c r="S1836" s="180">
        <v>4.2919999999999998</v>
      </c>
    </row>
    <row r="1837" spans="18:19">
      <c r="R1837" s="199">
        <v>44281</v>
      </c>
      <c r="S1837" s="180">
        <v>4.2919999999999998</v>
      </c>
    </row>
    <row r="1838" spans="18:19">
      <c r="R1838" s="199">
        <v>44284</v>
      </c>
      <c r="S1838" s="180">
        <v>4.2919999999999998</v>
      </c>
    </row>
    <row r="1839" spans="18:19">
      <c r="R1839" s="199">
        <v>44285</v>
      </c>
      <c r="S1839" s="180">
        <v>4.2919999999999998</v>
      </c>
    </row>
    <row r="1840" spans="18:19">
      <c r="R1840" s="199">
        <v>44286</v>
      </c>
      <c r="S1840" s="180">
        <v>4.2919999999999998</v>
      </c>
    </row>
    <row r="1841" spans="18:19">
      <c r="R1841" s="199">
        <v>44287</v>
      </c>
      <c r="S1841" s="180">
        <v>4.2919999999999998</v>
      </c>
    </row>
    <row r="1842" spans="18:19">
      <c r="R1842" s="199">
        <v>44292</v>
      </c>
      <c r="S1842" s="180">
        <v>4.2919999999999998</v>
      </c>
    </row>
    <row r="1843" spans="18:19">
      <c r="R1843" s="199">
        <v>44293</v>
      </c>
      <c r="S1843" s="180">
        <v>4.2919999999999998</v>
      </c>
    </row>
    <row r="1844" spans="18:19">
      <c r="R1844" s="199">
        <v>44294</v>
      </c>
      <c r="S1844" s="180">
        <v>4.2919999999999998</v>
      </c>
    </row>
    <row r="1845" spans="18:19">
      <c r="R1845" s="199">
        <v>44295</v>
      </c>
      <c r="S1845" s="180">
        <v>4.2919999999999998</v>
      </c>
    </row>
    <row r="1846" spans="18:19">
      <c r="R1846" s="199">
        <v>44298</v>
      </c>
      <c r="S1846" s="180">
        <v>4.2919999999999998</v>
      </c>
    </row>
    <row r="1847" spans="18:19">
      <c r="R1847" s="199">
        <v>44299</v>
      </c>
      <c r="S1847" s="180">
        <v>4.2919999999999998</v>
      </c>
    </row>
    <row r="1848" spans="18:19">
      <c r="R1848" s="199">
        <v>44300</v>
      </c>
      <c r="S1848" s="180">
        <v>4.2919999999999998</v>
      </c>
    </row>
    <row r="1849" spans="18:19">
      <c r="R1849" s="199">
        <v>44301</v>
      </c>
      <c r="S1849" s="180">
        <v>4.2919999999999998</v>
      </c>
    </row>
    <row r="1850" spans="18:19">
      <c r="R1850" s="199">
        <v>44302</v>
      </c>
      <c r="S1850" s="180">
        <v>4.2919999999999998</v>
      </c>
    </row>
    <row r="1851" spans="18:19">
      <c r="R1851" s="199">
        <v>44305</v>
      </c>
      <c r="S1851" s="180">
        <v>4.2919999999999998</v>
      </c>
    </row>
    <row r="1852" spans="18:19">
      <c r="R1852" s="199">
        <v>44306</v>
      </c>
      <c r="S1852" s="180">
        <v>4.2919999999999998</v>
      </c>
    </row>
    <row r="1853" spans="18:19">
      <c r="R1853" s="199">
        <v>44307</v>
      </c>
      <c r="S1853" s="180">
        <v>4.2919999999999998</v>
      </c>
    </row>
    <row r="1854" spans="18:19">
      <c r="R1854" s="199">
        <v>44308</v>
      </c>
      <c r="S1854" s="180">
        <v>4.2919999999999998</v>
      </c>
    </row>
    <row r="1855" spans="18:19">
      <c r="R1855" s="199">
        <v>44309</v>
      </c>
      <c r="S1855" s="180">
        <v>4.2919999999999998</v>
      </c>
    </row>
    <row r="1856" spans="18:19">
      <c r="R1856" s="199">
        <v>44312</v>
      </c>
      <c r="S1856" s="180">
        <v>4.2919999999999998</v>
      </c>
    </row>
    <row r="1857" spans="18:19">
      <c r="R1857" s="199">
        <v>44313</v>
      </c>
      <c r="S1857" s="180">
        <v>4.2919999999999998</v>
      </c>
    </row>
    <row r="1858" spans="18:19">
      <c r="R1858" s="199">
        <v>44314</v>
      </c>
      <c r="S1858" s="180">
        <v>4.2919999999999998</v>
      </c>
    </row>
    <row r="1859" spans="18:19">
      <c r="R1859" s="199">
        <v>44315</v>
      </c>
      <c r="S1859" s="180">
        <v>4.2919999999999998</v>
      </c>
    </row>
    <row r="1860" spans="18:19">
      <c r="R1860" s="199">
        <v>44316</v>
      </c>
      <c r="S1860" s="180">
        <v>4.2919999999999998</v>
      </c>
    </row>
    <row r="1861" spans="18:19">
      <c r="R1861" s="199">
        <v>44319</v>
      </c>
      <c r="S1861" s="180">
        <v>4.2919999999999998</v>
      </c>
    </row>
    <row r="1862" spans="18:19">
      <c r="R1862" s="199">
        <v>44320</v>
      </c>
      <c r="S1862" s="180">
        <v>4.2919999999999998</v>
      </c>
    </row>
    <row r="1863" spans="18:19">
      <c r="R1863" s="199">
        <v>44321</v>
      </c>
      <c r="S1863" s="180">
        <v>4.2919999999999998</v>
      </c>
    </row>
    <row r="1864" spans="18:19">
      <c r="R1864" s="199">
        <v>44322</v>
      </c>
      <c r="S1864" s="180">
        <v>4.2919999999999998</v>
      </c>
    </row>
    <row r="1865" spans="18:19">
      <c r="R1865" s="199">
        <v>44323</v>
      </c>
      <c r="S1865" s="180">
        <v>4.2919999999999998</v>
      </c>
    </row>
    <row r="1866" spans="18:19">
      <c r="R1866" s="199">
        <v>44326</v>
      </c>
      <c r="S1866" s="180">
        <v>4.2919999999999998</v>
      </c>
    </row>
    <row r="1867" spans="18:19">
      <c r="R1867" s="199">
        <v>44327</v>
      </c>
      <c r="S1867" s="180">
        <v>4.2919999999999998</v>
      </c>
    </row>
    <row r="1868" spans="18:19">
      <c r="R1868" s="199">
        <v>44328</v>
      </c>
      <c r="S1868" s="180">
        <v>4.2919999999999998</v>
      </c>
    </row>
    <row r="1869" spans="18:19">
      <c r="R1869" s="199">
        <v>44329</v>
      </c>
      <c r="S1869" s="180">
        <v>4.2919999999999998</v>
      </c>
    </row>
    <row r="1870" spans="18:19">
      <c r="R1870" s="199">
        <v>44330</v>
      </c>
      <c r="S1870" s="180">
        <v>4.2919999999999998</v>
      </c>
    </row>
    <row r="1871" spans="18:19">
      <c r="R1871" s="199">
        <v>44333</v>
      </c>
      <c r="S1871" s="180">
        <v>4.2919999999999998</v>
      </c>
    </row>
    <row r="1872" spans="18:19">
      <c r="R1872" s="199">
        <v>44334</v>
      </c>
      <c r="S1872" s="180">
        <v>4.2919999999999998</v>
      </c>
    </row>
    <row r="1873" spans="18:19">
      <c r="R1873" s="199">
        <v>44335</v>
      </c>
      <c r="S1873" s="180">
        <v>4.2919999999999998</v>
      </c>
    </row>
    <row r="1874" spans="18:19">
      <c r="R1874" s="199">
        <v>44336</v>
      </c>
      <c r="S1874" s="180">
        <v>4.2919999999999998</v>
      </c>
    </row>
    <row r="1875" spans="18:19">
      <c r="R1875" s="199">
        <v>44337</v>
      </c>
      <c r="S1875" s="180">
        <v>4.2919999999999998</v>
      </c>
    </row>
    <row r="1876" spans="18:19">
      <c r="R1876" s="199">
        <v>44340</v>
      </c>
      <c r="S1876" s="180">
        <v>4.2919999999999998</v>
      </c>
    </row>
    <row r="1877" spans="18:19">
      <c r="R1877" s="199">
        <v>44341</v>
      </c>
      <c r="S1877" s="180">
        <v>4.2919999999999998</v>
      </c>
    </row>
    <row r="1878" spans="18:19">
      <c r="R1878" s="199">
        <v>44342</v>
      </c>
      <c r="S1878" s="180">
        <v>4.2919999999999998</v>
      </c>
    </row>
    <row r="1879" spans="18:19">
      <c r="R1879" s="199">
        <v>44343</v>
      </c>
      <c r="S1879" s="180">
        <v>4.2919999999999998</v>
      </c>
    </row>
    <row r="1880" spans="18:19">
      <c r="R1880" s="199">
        <v>44344</v>
      </c>
      <c r="S1880" s="180">
        <v>4.2919999999999998</v>
      </c>
    </row>
    <row r="1881" spans="18:19">
      <c r="R1881" s="199">
        <v>44347</v>
      </c>
      <c r="S1881" s="180">
        <v>4.2919999999999998</v>
      </c>
    </row>
    <row r="1882" spans="18:19">
      <c r="R1882" s="199">
        <v>44348</v>
      </c>
      <c r="S1882" s="180">
        <v>4.2919999999999998</v>
      </c>
    </row>
    <row r="1883" spans="18:19">
      <c r="R1883" s="199">
        <v>44349</v>
      </c>
      <c r="S1883" s="180">
        <v>4.2919999999999998</v>
      </c>
    </row>
    <row r="1884" spans="18:19">
      <c r="R1884" s="199">
        <v>44350</v>
      </c>
      <c r="S1884" s="180">
        <v>4.2919999999999998</v>
      </c>
    </row>
    <row r="1885" spans="18:19">
      <c r="R1885" s="199">
        <v>44351</v>
      </c>
      <c r="S1885" s="180">
        <v>4.2919999999999998</v>
      </c>
    </row>
    <row r="1886" spans="18:19">
      <c r="R1886" s="199">
        <v>44354</v>
      </c>
      <c r="S1886" s="180">
        <v>4.2919999999999998</v>
      </c>
    </row>
    <row r="1887" spans="18:19">
      <c r="R1887" s="199">
        <v>44355</v>
      </c>
      <c r="S1887" s="180">
        <v>4.2919999999999998</v>
      </c>
    </row>
    <row r="1888" spans="18:19">
      <c r="R1888" s="199">
        <v>44356</v>
      </c>
      <c r="S1888" s="180">
        <v>4.2919999999999998</v>
      </c>
    </row>
    <row r="1889" spans="18:19">
      <c r="R1889" s="199">
        <v>44357</v>
      </c>
      <c r="S1889" s="180">
        <v>4.2919999999999998</v>
      </c>
    </row>
    <row r="1890" spans="18:19">
      <c r="R1890" s="199">
        <v>44358</v>
      </c>
      <c r="S1890" s="180">
        <v>4.2919999999999998</v>
      </c>
    </row>
    <row r="1891" spans="18:19">
      <c r="R1891" s="199">
        <v>44362</v>
      </c>
      <c r="S1891" s="180">
        <v>4.2919999999999998</v>
      </c>
    </row>
    <row r="1892" spans="18:19">
      <c r="R1892" s="199">
        <v>44363</v>
      </c>
      <c r="S1892" s="180">
        <v>4.2919999999999998</v>
      </c>
    </row>
    <row r="1893" spans="18:19">
      <c r="R1893" s="199">
        <v>44364</v>
      </c>
      <c r="S1893" s="180">
        <v>4.2919999999999998</v>
      </c>
    </row>
    <row r="1894" spans="18:19">
      <c r="R1894" s="199">
        <v>44365</v>
      </c>
      <c r="S1894" s="180">
        <v>4.2919999999999998</v>
      </c>
    </row>
    <row r="1895" spans="18:19">
      <c r="R1895" s="199">
        <v>44368</v>
      </c>
      <c r="S1895" s="180">
        <v>4.2919999999999998</v>
      </c>
    </row>
    <row r="1896" spans="18:19">
      <c r="R1896" s="199">
        <v>44369</v>
      </c>
      <c r="S1896" s="180">
        <v>4.2919999999999998</v>
      </c>
    </row>
    <row r="1897" spans="18:19">
      <c r="R1897" s="199">
        <v>44370</v>
      </c>
      <c r="S1897" s="180">
        <v>4.2919999999999998</v>
      </c>
    </row>
    <row r="1898" spans="18:19">
      <c r="R1898" s="199">
        <v>44371</v>
      </c>
      <c r="S1898" s="180">
        <v>4.2919999999999998</v>
      </c>
    </row>
    <row r="1899" spans="18:19">
      <c r="R1899" s="199">
        <v>44372</v>
      </c>
      <c r="S1899" s="180">
        <v>4.2919999999999998</v>
      </c>
    </row>
    <row r="1900" spans="18:19">
      <c r="R1900" s="199">
        <v>44375</v>
      </c>
      <c r="S1900" s="180">
        <v>4.2919999999999998</v>
      </c>
    </row>
    <row r="1901" spans="18:19">
      <c r="R1901" s="199">
        <v>44376</v>
      </c>
      <c r="S1901" s="180">
        <v>4.2919999999999998</v>
      </c>
    </row>
    <row r="1902" spans="18:19">
      <c r="R1902" s="199">
        <v>44377</v>
      </c>
      <c r="S1902" s="180">
        <v>4.2919999999999998</v>
      </c>
    </row>
    <row r="1903" spans="18:19">
      <c r="R1903" s="199">
        <v>44378</v>
      </c>
      <c r="S1903" s="180">
        <v>4.2919999999999998</v>
      </c>
    </row>
    <row r="1904" spans="18:19">
      <c r="R1904" s="199">
        <v>44379</v>
      </c>
      <c r="S1904" s="180">
        <v>4.2919999999999998</v>
      </c>
    </row>
    <row r="1905" spans="18:19">
      <c r="R1905" s="199">
        <v>44382</v>
      </c>
      <c r="S1905" s="180">
        <v>4.2919999999999998</v>
      </c>
    </row>
    <row r="1906" spans="18:19">
      <c r="R1906" s="199">
        <v>44383</v>
      </c>
      <c r="S1906" s="180">
        <v>4.2919999999999998</v>
      </c>
    </row>
    <row r="1907" spans="18:19">
      <c r="R1907" s="199">
        <v>44384</v>
      </c>
      <c r="S1907" s="180">
        <v>4.2919999999999998</v>
      </c>
    </row>
    <row r="1908" spans="18:19">
      <c r="R1908" s="199">
        <v>44385</v>
      </c>
      <c r="S1908" s="180">
        <v>4.2919999999999998</v>
      </c>
    </row>
    <row r="1909" spans="18:19">
      <c r="R1909" s="199">
        <v>44386</v>
      </c>
      <c r="S1909" s="180">
        <v>4.2919999999999998</v>
      </c>
    </row>
    <row r="1910" spans="18:19">
      <c r="R1910" s="199">
        <v>44389</v>
      </c>
      <c r="S1910" s="180">
        <v>4.2919999999999998</v>
      </c>
    </row>
    <row r="1911" spans="18:19">
      <c r="R1911" s="199">
        <v>44390</v>
      </c>
      <c r="S1911" s="180">
        <v>4.2919999999999998</v>
      </c>
    </row>
    <row r="1912" spans="18:19">
      <c r="R1912" s="199">
        <v>44391</v>
      </c>
      <c r="S1912" s="180">
        <v>4.2919999999999998</v>
      </c>
    </row>
    <row r="1913" spans="18:19">
      <c r="R1913" s="199">
        <v>44392</v>
      </c>
      <c r="S1913" s="180">
        <v>4.2919999999999998</v>
      </c>
    </row>
    <row r="1914" spans="18:19">
      <c r="R1914" s="199">
        <v>44393</v>
      </c>
      <c r="S1914" s="180">
        <v>4.2919999999999998</v>
      </c>
    </row>
    <row r="1915" spans="18:19">
      <c r="R1915" s="199">
        <v>44396</v>
      </c>
      <c r="S1915" s="180">
        <v>4.2919999999999998</v>
      </c>
    </row>
    <row r="1916" spans="18:19">
      <c r="R1916" s="199">
        <v>44397</v>
      </c>
      <c r="S1916" s="180">
        <v>4.2919999999999998</v>
      </c>
    </row>
    <row r="1917" spans="18:19">
      <c r="R1917" s="199">
        <v>44398</v>
      </c>
      <c r="S1917" s="180">
        <v>4.2919999999999998</v>
      </c>
    </row>
    <row r="1918" spans="18:19">
      <c r="R1918" s="199">
        <v>44399</v>
      </c>
      <c r="S1918" s="180">
        <v>4.2919999999999998</v>
      </c>
    </row>
    <row r="1919" spans="18:19">
      <c r="R1919" s="199">
        <v>44400</v>
      </c>
      <c r="S1919" s="180">
        <v>4.2919999999999998</v>
      </c>
    </row>
    <row r="1920" spans="18:19">
      <c r="R1920" s="199">
        <v>44403</v>
      </c>
      <c r="S1920" s="180">
        <v>4.2919999999999998</v>
      </c>
    </row>
    <row r="1921" spans="18:19">
      <c r="R1921" s="199">
        <v>44404</v>
      </c>
      <c r="S1921" s="180">
        <v>4.2919999999999998</v>
      </c>
    </row>
    <row r="1922" spans="18:19">
      <c r="R1922" s="199">
        <v>44405</v>
      </c>
      <c r="S1922" s="180">
        <v>4.2919999999999998</v>
      </c>
    </row>
    <row r="1923" spans="18:19">
      <c r="R1923" s="199">
        <v>44406</v>
      </c>
      <c r="S1923" s="180">
        <v>4.2919999999999998</v>
      </c>
    </row>
    <row r="1924" spans="18:19">
      <c r="R1924" s="199">
        <v>44407</v>
      </c>
      <c r="S1924" s="180">
        <v>4.2919999999999998</v>
      </c>
    </row>
    <row r="1925" spans="18:19">
      <c r="R1925" s="199">
        <v>44410</v>
      </c>
      <c r="S1925" s="180">
        <v>4.2919999999999998</v>
      </c>
    </row>
    <row r="1926" spans="18:19">
      <c r="R1926" s="199">
        <v>44411</v>
      </c>
      <c r="S1926" s="180">
        <v>4.2919999999999998</v>
      </c>
    </row>
    <row r="1927" spans="18:19">
      <c r="R1927" s="199">
        <v>44412</v>
      </c>
      <c r="S1927" s="180">
        <v>4.2919999999999998</v>
      </c>
    </row>
    <row r="1928" spans="18:19">
      <c r="R1928" s="199">
        <v>44413</v>
      </c>
      <c r="S1928" s="180">
        <v>4.2919999999999998</v>
      </c>
    </row>
    <row r="1929" spans="18:19">
      <c r="R1929" s="199">
        <v>44414</v>
      </c>
      <c r="S1929" s="180">
        <v>4.2919999999999998</v>
      </c>
    </row>
    <row r="1930" spans="18:19">
      <c r="R1930" s="199">
        <v>44417</v>
      </c>
      <c r="S1930" s="180">
        <v>4.2919999999999998</v>
      </c>
    </row>
    <row r="1931" spans="18:19">
      <c r="R1931" s="199">
        <v>44418</v>
      </c>
      <c r="S1931" s="180">
        <v>4.2919999999999998</v>
      </c>
    </row>
    <row r="1932" spans="18:19">
      <c r="R1932" s="199">
        <v>44419</v>
      </c>
      <c r="S1932" s="180">
        <v>4.2919999999999998</v>
      </c>
    </row>
    <row r="1933" spans="18:19">
      <c r="R1933" s="199">
        <v>44420</v>
      </c>
      <c r="S1933" s="180">
        <v>4.2919999999999998</v>
      </c>
    </row>
    <row r="1934" spans="18:19">
      <c r="R1934" s="199">
        <v>44421</v>
      </c>
      <c r="S1934" s="180">
        <v>4.2919999999999998</v>
      </c>
    </row>
    <row r="1935" spans="18:19">
      <c r="R1935" s="199">
        <v>44424</v>
      </c>
      <c r="S1935" s="180">
        <v>4.2919999999999998</v>
      </c>
    </row>
    <row r="1936" spans="18:19">
      <c r="R1936" s="199">
        <v>44425</v>
      </c>
      <c r="S1936" s="180">
        <v>4.2919999999999998</v>
      </c>
    </row>
    <row r="1937" spans="18:19">
      <c r="R1937" s="199">
        <v>44426</v>
      </c>
      <c r="S1937" s="180">
        <v>4.2919999999999998</v>
      </c>
    </row>
    <row r="1938" spans="18:19">
      <c r="R1938" s="199">
        <v>44427</v>
      </c>
      <c r="S1938" s="180">
        <v>4.2919999999999998</v>
      </c>
    </row>
    <row r="1939" spans="18:19">
      <c r="R1939" s="199">
        <v>44428</v>
      </c>
      <c r="S1939" s="180">
        <v>4.2919999999999998</v>
      </c>
    </row>
    <row r="1940" spans="18:19">
      <c r="R1940" s="199">
        <v>44431</v>
      </c>
      <c r="S1940" s="180">
        <v>4.2919999999999998</v>
      </c>
    </row>
    <row r="1941" spans="18:19">
      <c r="R1941" s="199">
        <v>44432</v>
      </c>
      <c r="S1941" s="180">
        <v>4.2919999999999998</v>
      </c>
    </row>
    <row r="1942" spans="18:19">
      <c r="R1942" s="199">
        <v>44433</v>
      </c>
      <c r="S1942" s="180">
        <v>4.2919999999999998</v>
      </c>
    </row>
    <row r="1943" spans="18:19">
      <c r="R1943" s="199">
        <v>44434</v>
      </c>
      <c r="S1943" s="180">
        <v>4.2919999999999998</v>
      </c>
    </row>
    <row r="1944" spans="18:19">
      <c r="R1944" s="199">
        <v>44435</v>
      </c>
      <c r="S1944" s="180">
        <v>4.2919999999999998</v>
      </c>
    </row>
    <row r="1945" spans="18:19">
      <c r="R1945" s="199">
        <v>44438</v>
      </c>
      <c r="S1945" s="180">
        <v>4.2919999999999998</v>
      </c>
    </row>
    <row r="1946" spans="18:19">
      <c r="R1946" s="199">
        <v>44439</v>
      </c>
      <c r="S1946" s="180">
        <v>4.2919999999999998</v>
      </c>
    </row>
    <row r="1947" spans="18:19">
      <c r="R1947" s="199">
        <v>44440</v>
      </c>
      <c r="S1947" s="180">
        <v>4.2919999999999998</v>
      </c>
    </row>
    <row r="1948" spans="18:19">
      <c r="R1948" s="199">
        <v>44441</v>
      </c>
      <c r="S1948" s="180">
        <v>4.2919999999999998</v>
      </c>
    </row>
    <row r="1949" spans="18:19">
      <c r="R1949" s="199">
        <v>44442</v>
      </c>
      <c r="S1949" s="180">
        <v>4.2919999999999998</v>
      </c>
    </row>
    <row r="1950" spans="18:19">
      <c r="R1950" s="199">
        <v>44445</v>
      </c>
      <c r="S1950" s="180">
        <v>4.2919999999999998</v>
      </c>
    </row>
    <row r="1951" spans="18:19">
      <c r="R1951" s="199">
        <v>44446</v>
      </c>
      <c r="S1951" s="180">
        <v>4.2919999999999998</v>
      </c>
    </row>
    <row r="1952" spans="18:19">
      <c r="R1952" s="199">
        <v>44447</v>
      </c>
      <c r="S1952" s="180">
        <v>4.2919999999999998</v>
      </c>
    </row>
    <row r="1953" spans="18:19">
      <c r="R1953" s="199">
        <v>44448</v>
      </c>
      <c r="S1953" s="180">
        <v>4.2919999999999998</v>
      </c>
    </row>
    <row r="1954" spans="18:19">
      <c r="R1954" s="199">
        <v>44449</v>
      </c>
      <c r="S1954" s="180">
        <v>4.2919999999999998</v>
      </c>
    </row>
    <row r="1955" spans="18:19">
      <c r="R1955" s="199">
        <v>44452</v>
      </c>
      <c r="S1955" s="180">
        <v>4.2919999999999998</v>
      </c>
    </row>
    <row r="1956" spans="18:19">
      <c r="R1956" s="199">
        <v>44453</v>
      </c>
      <c r="S1956" s="180">
        <v>4.2919999999999998</v>
      </c>
    </row>
    <row r="1957" spans="18:19">
      <c r="R1957" s="199">
        <v>44454</v>
      </c>
      <c r="S1957" s="180">
        <v>4.2919999999999998</v>
      </c>
    </row>
    <row r="1958" spans="18:19">
      <c r="R1958" s="199">
        <v>44455</v>
      </c>
      <c r="S1958" s="180">
        <v>4.2919999999999998</v>
      </c>
    </row>
    <row r="1959" spans="18:19">
      <c r="R1959" s="199">
        <v>44456</v>
      </c>
      <c r="S1959" s="180">
        <v>4.2919999999999998</v>
      </c>
    </row>
    <row r="1960" spans="18:19">
      <c r="R1960" s="199">
        <v>44459</v>
      </c>
      <c r="S1960" s="180">
        <v>4.2919999999999998</v>
      </c>
    </row>
    <row r="1961" spans="18:19">
      <c r="R1961" s="199">
        <v>44460</v>
      </c>
      <c r="S1961" s="180">
        <v>4.2919999999999998</v>
      </c>
    </row>
    <row r="1962" spans="18:19">
      <c r="R1962" s="199">
        <v>44461</v>
      </c>
      <c r="S1962" s="180">
        <v>4.2919999999999998</v>
      </c>
    </row>
    <row r="1963" spans="18:19">
      <c r="R1963" s="199">
        <v>44462</v>
      </c>
      <c r="S1963" s="180">
        <v>4.2919999999999998</v>
      </c>
    </row>
    <row r="1964" spans="18:19">
      <c r="R1964" s="199">
        <v>44463</v>
      </c>
      <c r="S1964" s="180">
        <v>4.2919999999999998</v>
      </c>
    </row>
    <row r="1965" spans="18:19">
      <c r="R1965" s="199">
        <v>44466</v>
      </c>
      <c r="S1965" s="180">
        <v>4.2919999999999998</v>
      </c>
    </row>
    <row r="1966" spans="18:19">
      <c r="R1966" s="199">
        <v>44467</v>
      </c>
      <c r="S1966" s="180">
        <v>4.2919999999999998</v>
      </c>
    </row>
    <row r="1967" spans="18:19">
      <c r="R1967" s="199">
        <v>44468</v>
      </c>
      <c r="S1967" s="180">
        <v>4.2919999999999998</v>
      </c>
    </row>
    <row r="1968" spans="18:19">
      <c r="R1968" s="199">
        <v>44469</v>
      </c>
      <c r="S1968" s="180">
        <v>4.2919999999999998</v>
      </c>
    </row>
    <row r="1969" spans="18:19">
      <c r="R1969" s="199">
        <v>44470</v>
      </c>
      <c r="S1969" s="180">
        <v>4.2919999999999998</v>
      </c>
    </row>
    <row r="1970" spans="18:19">
      <c r="R1970" s="199">
        <v>44473</v>
      </c>
      <c r="S1970" s="180">
        <v>4.2919999999999998</v>
      </c>
    </row>
    <row r="1971" spans="18:19">
      <c r="R1971" s="199">
        <v>44474</v>
      </c>
      <c r="S1971" s="180">
        <v>4.2919999999999998</v>
      </c>
    </row>
    <row r="1972" spans="18:19">
      <c r="R1972" s="199">
        <v>44475</v>
      </c>
      <c r="S1972" s="180">
        <v>4.2919999999999998</v>
      </c>
    </row>
    <row r="1973" spans="18:19">
      <c r="R1973" s="199">
        <v>44476</v>
      </c>
      <c r="S1973" s="180">
        <v>4.2919999999999998</v>
      </c>
    </row>
    <row r="1974" spans="18:19">
      <c r="R1974" s="199">
        <v>44477</v>
      </c>
      <c r="S1974" s="180">
        <v>4.2919999999999998</v>
      </c>
    </row>
    <row r="1975" spans="18:19">
      <c r="R1975" s="199">
        <v>44480</v>
      </c>
      <c r="S1975" s="180">
        <v>4.2919999999999998</v>
      </c>
    </row>
    <row r="1976" spans="18:19">
      <c r="R1976" s="199">
        <v>44481</v>
      </c>
      <c r="S1976" s="180">
        <v>4.2919999999999998</v>
      </c>
    </row>
    <row r="1977" spans="18:19">
      <c r="R1977" s="199">
        <v>44482</v>
      </c>
      <c r="S1977" s="180">
        <v>4.2919999999999998</v>
      </c>
    </row>
    <row r="1978" spans="18:19">
      <c r="R1978" s="199">
        <v>44483</v>
      </c>
      <c r="S1978" s="180">
        <v>4.2919999999999998</v>
      </c>
    </row>
    <row r="1979" spans="18:19">
      <c r="R1979" s="199">
        <v>44484</v>
      </c>
      <c r="S1979" s="180">
        <v>4.2919999999999998</v>
      </c>
    </row>
    <row r="1980" spans="18:19">
      <c r="R1980" s="199">
        <v>44487</v>
      </c>
      <c r="S1980" s="180">
        <v>4.2919999999999998</v>
      </c>
    </row>
    <row r="1981" spans="18:19">
      <c r="R1981" s="199">
        <v>44488</v>
      </c>
      <c r="S1981" s="180">
        <v>4.2919999999999998</v>
      </c>
    </row>
    <row r="1982" spans="18:19">
      <c r="R1982" s="199">
        <v>44489</v>
      </c>
      <c r="S1982" s="180">
        <v>4.2919999999999998</v>
      </c>
    </row>
    <row r="1983" spans="18:19">
      <c r="R1983" s="199">
        <v>44490</v>
      </c>
      <c r="S1983" s="180">
        <v>4.2919999999999998</v>
      </c>
    </row>
    <row r="1984" spans="18:19">
      <c r="R1984" s="199">
        <v>44491</v>
      </c>
      <c r="S1984" s="180">
        <v>4.2919999999999998</v>
      </c>
    </row>
    <row r="1985" spans="18:19">
      <c r="R1985" s="199">
        <v>44494</v>
      </c>
      <c r="S1985" s="180">
        <v>4.2919999999999998</v>
      </c>
    </row>
    <row r="1986" spans="18:19">
      <c r="R1986" s="199">
        <v>44495</v>
      </c>
      <c r="S1986" s="180">
        <v>4.2919999999999998</v>
      </c>
    </row>
    <row r="1987" spans="18:19">
      <c r="R1987" s="199">
        <v>44496</v>
      </c>
      <c r="S1987" s="180">
        <v>4.2919999999999998</v>
      </c>
    </row>
    <row r="1988" spans="18:19">
      <c r="R1988" s="199">
        <v>44497</v>
      </c>
      <c r="S1988" s="180">
        <v>4.2919999999999998</v>
      </c>
    </row>
    <row r="1989" spans="18:19">
      <c r="R1989" s="199">
        <v>44498</v>
      </c>
      <c r="S1989" s="180">
        <v>4.2919999999999998</v>
      </c>
    </row>
    <row r="1990" spans="18:19">
      <c r="R1990" s="199">
        <v>44501</v>
      </c>
      <c r="S1990" s="180">
        <v>4.2919999999999998</v>
      </c>
    </row>
    <row r="1991" spans="18:19">
      <c r="R1991" s="199">
        <v>44502</v>
      </c>
      <c r="S1991" s="180">
        <v>4.2919999999999998</v>
      </c>
    </row>
    <row r="1992" spans="18:19">
      <c r="R1992" s="199">
        <v>44503</v>
      </c>
      <c r="S1992" s="180">
        <v>4.2919999999999998</v>
      </c>
    </row>
    <row r="1993" spans="18:19">
      <c r="R1993" s="199">
        <v>44504</v>
      </c>
      <c r="S1993" s="180">
        <v>4.2919999999999998</v>
      </c>
    </row>
    <row r="1994" spans="18:19">
      <c r="R1994" s="199">
        <v>44505</v>
      </c>
      <c r="S1994" s="180">
        <v>4.2919999999999998</v>
      </c>
    </row>
    <row r="1995" spans="18:19">
      <c r="R1995" s="199">
        <v>44508</v>
      </c>
      <c r="S1995" s="180">
        <v>4.2919999999999998</v>
      </c>
    </row>
    <row r="1996" spans="18:19">
      <c r="R1996" s="199">
        <v>44509</v>
      </c>
      <c r="S1996" s="180">
        <v>4.2919999999999998</v>
      </c>
    </row>
    <row r="1997" spans="18:19">
      <c r="R1997" s="199">
        <v>44510</v>
      </c>
      <c r="S1997" s="180">
        <v>4.2919999999999998</v>
      </c>
    </row>
    <row r="1998" spans="18:19">
      <c r="R1998" s="199">
        <v>44511</v>
      </c>
      <c r="S1998" s="180">
        <v>4.2919999999999998</v>
      </c>
    </row>
    <row r="1999" spans="18:19">
      <c r="R1999" s="199">
        <v>44512</v>
      </c>
      <c r="S1999" s="180">
        <v>4.2919999999999998</v>
      </c>
    </row>
    <row r="2000" spans="18:19">
      <c r="R2000" s="199">
        <v>44515</v>
      </c>
      <c r="S2000" s="180">
        <v>4.2919999999999998</v>
      </c>
    </row>
    <row r="2001" spans="18:19">
      <c r="R2001" s="199">
        <v>44516</v>
      </c>
      <c r="S2001" s="180">
        <v>4.2919999999999998</v>
      </c>
    </row>
    <row r="2002" spans="18:19">
      <c r="R2002" s="199">
        <v>44517</v>
      </c>
      <c r="S2002" s="180">
        <v>4.2919999999999998</v>
      </c>
    </row>
    <row r="2003" spans="18:19">
      <c r="R2003" s="199">
        <v>44518</v>
      </c>
      <c r="S2003" s="180">
        <v>4.2919999999999998</v>
      </c>
    </row>
    <row r="2004" spans="18:19">
      <c r="R2004" s="199">
        <v>44519</v>
      </c>
      <c r="S2004" s="180">
        <v>4.2919999999999998</v>
      </c>
    </row>
    <row r="2005" spans="18:19">
      <c r="R2005" s="199">
        <v>44522</v>
      </c>
      <c r="S2005" s="180">
        <v>4.2919999999999998</v>
      </c>
    </row>
    <row r="2006" spans="18:19">
      <c r="R2006" s="199">
        <v>44523</v>
      </c>
      <c r="S2006" s="180">
        <v>4.2919999999999998</v>
      </c>
    </row>
    <row r="2007" spans="18:19">
      <c r="R2007" s="199">
        <v>44524</v>
      </c>
      <c r="S2007" s="180">
        <v>4.2919999999999998</v>
      </c>
    </row>
    <row r="2008" spans="18:19">
      <c r="R2008" s="199">
        <v>44525</v>
      </c>
      <c r="S2008" s="180">
        <v>4.2919999999999998</v>
      </c>
    </row>
    <row r="2009" spans="18:19">
      <c r="R2009" s="199">
        <v>44526</v>
      </c>
      <c r="S2009" s="180">
        <v>4.2919999999999998</v>
      </c>
    </row>
    <row r="2010" spans="18:19">
      <c r="R2010" s="199">
        <v>44529</v>
      </c>
      <c r="S2010" s="180">
        <v>4.2919999999999998</v>
      </c>
    </row>
    <row r="2011" spans="18:19">
      <c r="R2011" s="199">
        <v>44530</v>
      </c>
      <c r="S2011" s="180">
        <v>4.2919999999999998</v>
      </c>
    </row>
    <row r="2012" spans="18:19">
      <c r="R2012" s="199">
        <v>44531</v>
      </c>
      <c r="S2012" s="180">
        <v>4.2919999999999998</v>
      </c>
    </row>
    <row r="2013" spans="18:19">
      <c r="R2013" s="199">
        <v>44532</v>
      </c>
      <c r="S2013" s="180">
        <v>4.2919999999999998</v>
      </c>
    </row>
    <row r="2014" spans="18:19">
      <c r="R2014" s="199">
        <v>44533</v>
      </c>
      <c r="S2014" s="180">
        <v>4.2919999999999998</v>
      </c>
    </row>
    <row r="2015" spans="18:19">
      <c r="R2015" s="199">
        <v>44536</v>
      </c>
      <c r="S2015" s="180">
        <v>4.2919999999999998</v>
      </c>
    </row>
    <row r="2016" spans="18:19">
      <c r="R2016" s="199">
        <v>44537</v>
      </c>
      <c r="S2016" s="180">
        <v>4.2919999999999998</v>
      </c>
    </row>
    <row r="2017" spans="18:19">
      <c r="R2017" s="199">
        <v>44538</v>
      </c>
      <c r="S2017" s="180">
        <v>4.2919999999999998</v>
      </c>
    </row>
    <row r="2018" spans="18:19">
      <c r="R2018" s="199">
        <v>44539</v>
      </c>
      <c r="S2018" s="180">
        <v>4.2919999999999998</v>
      </c>
    </row>
    <row r="2019" spans="18:19">
      <c r="R2019" s="199">
        <v>44540</v>
      </c>
      <c r="S2019" s="180">
        <v>4.2919999999999998</v>
      </c>
    </row>
    <row r="2020" spans="18:19">
      <c r="R2020" s="199">
        <v>44543</v>
      </c>
      <c r="S2020" s="180">
        <v>4.2919999999999998</v>
      </c>
    </row>
    <row r="2021" spans="18:19">
      <c r="R2021" s="199">
        <v>44544</v>
      </c>
      <c r="S2021" s="180">
        <v>4.2919999999999998</v>
      </c>
    </row>
    <row r="2022" spans="18:19">
      <c r="R2022" s="199">
        <v>44545</v>
      </c>
      <c r="S2022" s="180">
        <v>4.2919999999999998</v>
      </c>
    </row>
    <row r="2023" spans="18:19">
      <c r="R2023" s="199">
        <v>44546</v>
      </c>
      <c r="S2023" s="180">
        <v>4.2919999999999998</v>
      </c>
    </row>
    <row r="2024" spans="18:19">
      <c r="R2024" s="199">
        <v>44547</v>
      </c>
      <c r="S2024" s="180">
        <v>4.2919999999999998</v>
      </c>
    </row>
    <row r="2025" spans="18:19">
      <c r="R2025" s="199">
        <v>44550</v>
      </c>
      <c r="S2025" s="180">
        <v>4.2919999999999998</v>
      </c>
    </row>
    <row r="2026" spans="18:19">
      <c r="R2026" s="199">
        <v>44551</v>
      </c>
      <c r="S2026" s="180">
        <v>4.2919999999999998</v>
      </c>
    </row>
    <row r="2027" spans="18:19">
      <c r="R2027" s="199">
        <v>44552</v>
      </c>
      <c r="S2027" s="180">
        <v>4.2919999999999998</v>
      </c>
    </row>
    <row r="2028" spans="18:19">
      <c r="R2028" s="199">
        <v>44553</v>
      </c>
      <c r="S2028" s="180">
        <v>4.2919999999999998</v>
      </c>
    </row>
    <row r="2029" spans="18:19">
      <c r="R2029" s="199">
        <v>44554</v>
      </c>
      <c r="S2029" s="180">
        <v>4.2919999999999998</v>
      </c>
    </row>
    <row r="2030" spans="18:19">
      <c r="R2030" s="199">
        <v>44559</v>
      </c>
      <c r="S2030" s="180">
        <v>4.2919999999999998</v>
      </c>
    </row>
    <row r="2031" spans="18:19">
      <c r="R2031" s="199">
        <v>44560</v>
      </c>
      <c r="S2031" s="180">
        <v>4.2919999999999998</v>
      </c>
    </row>
    <row r="2032" spans="18:19">
      <c r="R2032" s="199">
        <v>44561</v>
      </c>
      <c r="S2032" s="180">
        <v>4.2919999999999998</v>
      </c>
    </row>
    <row r="2033" spans="18:19">
      <c r="R2033" s="199">
        <v>44565</v>
      </c>
      <c r="S2033" s="180">
        <v>4.2919999999999998</v>
      </c>
    </row>
    <row r="2034" spans="18:19">
      <c r="R2034" s="199">
        <v>44566</v>
      </c>
      <c r="S2034" s="180">
        <v>4.2919999999999998</v>
      </c>
    </row>
    <row r="2035" spans="18:19">
      <c r="R2035" s="199">
        <v>44567</v>
      </c>
      <c r="S2035" s="180">
        <v>4.2919999999999998</v>
      </c>
    </row>
    <row r="2036" spans="18:19">
      <c r="R2036" s="199">
        <v>44568</v>
      </c>
      <c r="S2036" s="180">
        <v>4.2919999999999998</v>
      </c>
    </row>
    <row r="2037" spans="18:19">
      <c r="R2037" s="199">
        <v>44571</v>
      </c>
      <c r="S2037" s="180">
        <v>4.2919999999999998</v>
      </c>
    </row>
    <row r="2038" spans="18:19">
      <c r="R2038" s="199">
        <v>44572</v>
      </c>
      <c r="S2038" s="180">
        <v>4.2919999999999998</v>
      </c>
    </row>
    <row r="2039" spans="18:19">
      <c r="R2039" s="199">
        <v>44573</v>
      </c>
      <c r="S2039" s="180">
        <v>4.2919999999999998</v>
      </c>
    </row>
    <row r="2040" spans="18:19">
      <c r="R2040" s="199">
        <v>44574</v>
      </c>
      <c r="S2040" s="180">
        <v>4.2919999999999998</v>
      </c>
    </row>
    <row r="2041" spans="18:19">
      <c r="R2041" s="199">
        <v>44575</v>
      </c>
      <c r="S2041" s="180">
        <v>4.2919999999999998</v>
      </c>
    </row>
    <row r="2042" spans="18:19">
      <c r="R2042" s="199">
        <v>44578</v>
      </c>
      <c r="S2042" s="180">
        <v>4.2919999999999998</v>
      </c>
    </row>
    <row r="2043" spans="18:19">
      <c r="R2043" s="199">
        <v>44579</v>
      </c>
      <c r="S2043" s="180">
        <v>4.2919999999999998</v>
      </c>
    </row>
    <row r="2044" spans="18:19">
      <c r="R2044" s="199">
        <v>44580</v>
      </c>
      <c r="S2044" s="180">
        <v>4.2919999999999998</v>
      </c>
    </row>
    <row r="2045" spans="18:19">
      <c r="R2045" s="199">
        <v>44581</v>
      </c>
      <c r="S2045" s="180">
        <v>4.2919999999999998</v>
      </c>
    </row>
    <row r="2046" spans="18:19">
      <c r="R2046" s="199">
        <v>44582</v>
      </c>
      <c r="S2046" s="180">
        <v>4.2919999999999998</v>
      </c>
    </row>
    <row r="2047" spans="18:19">
      <c r="R2047" s="199">
        <v>44585</v>
      </c>
      <c r="S2047" s="180">
        <v>4.2919999999999998</v>
      </c>
    </row>
    <row r="2048" spans="18:19">
      <c r="R2048" s="199">
        <v>44586</v>
      </c>
      <c r="S2048" s="180">
        <v>4.2919999999999998</v>
      </c>
    </row>
    <row r="2049" spans="18:19">
      <c r="R2049" s="199">
        <v>44588</v>
      </c>
      <c r="S2049" s="180">
        <v>4.2919999999999998</v>
      </c>
    </row>
    <row r="2050" spans="18:19">
      <c r="R2050" s="199">
        <v>44589</v>
      </c>
      <c r="S2050" s="180">
        <v>4.2919999999999998</v>
      </c>
    </row>
    <row r="2051" spans="18:19">
      <c r="R2051" s="199">
        <v>44592</v>
      </c>
      <c r="S2051" s="180">
        <v>4.2919999999999998</v>
      </c>
    </row>
    <row r="2052" spans="18:19">
      <c r="R2052" s="199">
        <v>44593</v>
      </c>
      <c r="S2052" s="180">
        <v>4.2919999999999998</v>
      </c>
    </row>
    <row r="2053" spans="18:19">
      <c r="R2053" s="199">
        <v>44594</v>
      </c>
      <c r="S2053" s="180">
        <v>4.2919999999999998</v>
      </c>
    </row>
    <row r="2054" spans="18:19">
      <c r="R2054" s="199">
        <v>44595</v>
      </c>
      <c r="S2054" s="180">
        <v>4.2919999999999998</v>
      </c>
    </row>
    <row r="2055" spans="18:19">
      <c r="R2055" s="199">
        <v>44596</v>
      </c>
      <c r="S2055" s="180">
        <v>4.2919999999999998</v>
      </c>
    </row>
    <row r="2056" spans="18:19">
      <c r="R2056" s="199">
        <v>44599</v>
      </c>
      <c r="S2056" s="180">
        <v>4.2919999999999998</v>
      </c>
    </row>
    <row r="2057" spans="18:19">
      <c r="R2057" s="199">
        <v>44600</v>
      </c>
      <c r="S2057" s="180">
        <v>4.2919999999999998</v>
      </c>
    </row>
    <row r="2058" spans="18:19">
      <c r="R2058" s="199">
        <v>44601</v>
      </c>
      <c r="S2058" s="180">
        <v>4.2919999999999998</v>
      </c>
    </row>
    <row r="2059" spans="18:19">
      <c r="R2059" s="199">
        <v>44602</v>
      </c>
      <c r="S2059" s="180">
        <v>4.2919999999999998</v>
      </c>
    </row>
    <row r="2060" spans="18:19">
      <c r="R2060" s="199">
        <v>44603</v>
      </c>
      <c r="S2060" s="180">
        <v>4.2919999999999998</v>
      </c>
    </row>
    <row r="2061" spans="18:19">
      <c r="R2061" s="199">
        <v>44606</v>
      </c>
      <c r="S2061" s="180">
        <v>4.2919999999999998</v>
      </c>
    </row>
    <row r="2062" spans="18:19">
      <c r="R2062" s="199">
        <v>44607</v>
      </c>
      <c r="S2062" s="180">
        <v>4.2919999999999998</v>
      </c>
    </row>
    <row r="2063" spans="18:19">
      <c r="R2063" s="199">
        <v>44608</v>
      </c>
      <c r="S2063" s="180">
        <v>4.2919999999999998</v>
      </c>
    </row>
    <row r="2064" spans="18:19">
      <c r="R2064" s="199">
        <v>44609</v>
      </c>
      <c r="S2064" s="180">
        <v>4.2919999999999998</v>
      </c>
    </row>
    <row r="2065" spans="18:19">
      <c r="R2065" s="199">
        <v>44610</v>
      </c>
      <c r="S2065" s="180">
        <v>4.2919999999999998</v>
      </c>
    </row>
    <row r="2066" spans="18:19">
      <c r="R2066" s="199">
        <v>44613</v>
      </c>
      <c r="S2066" s="180">
        <v>4.2919999999999998</v>
      </c>
    </row>
    <row r="2067" spans="18:19">
      <c r="R2067" s="199">
        <v>44614</v>
      </c>
      <c r="S2067" s="180">
        <v>4.2919999999999998</v>
      </c>
    </row>
    <row r="2068" spans="18:19">
      <c r="R2068" s="199">
        <v>44615</v>
      </c>
      <c r="S2068" s="180">
        <v>4.2919999999999998</v>
      </c>
    </row>
    <row r="2069" spans="18:19">
      <c r="R2069" s="199">
        <v>44616</v>
      </c>
      <c r="S2069" s="180">
        <v>4.2919999999999998</v>
      </c>
    </row>
    <row r="2070" spans="18:19">
      <c r="R2070" s="199">
        <v>44617</v>
      </c>
      <c r="S2070" s="180">
        <v>4.2919999999999998</v>
      </c>
    </row>
    <row r="2071" spans="18:19">
      <c r="R2071" s="199">
        <v>44620</v>
      </c>
      <c r="S2071" s="180">
        <v>4.2919999999999998</v>
      </c>
    </row>
    <row r="2072" spans="18:19">
      <c r="R2072" s="199">
        <v>44621</v>
      </c>
      <c r="S2072" s="180">
        <v>4.2919999999999998</v>
      </c>
    </row>
    <row r="2073" spans="18:19">
      <c r="R2073" s="199">
        <v>44622</v>
      </c>
      <c r="S2073" s="180">
        <v>4.2919999999999998</v>
      </c>
    </row>
    <row r="2074" spans="18:19">
      <c r="R2074" s="199">
        <v>44623</v>
      </c>
      <c r="S2074" s="180">
        <v>4.2919999999999998</v>
      </c>
    </row>
    <row r="2075" spans="18:19">
      <c r="R2075" s="199">
        <v>44624</v>
      </c>
      <c r="S2075" s="180">
        <v>4.2919999999999998</v>
      </c>
    </row>
    <row r="2076" spans="18:19">
      <c r="R2076" s="199">
        <v>44627</v>
      </c>
      <c r="S2076" s="180">
        <v>4.2919999999999998</v>
      </c>
    </row>
    <row r="2077" spans="18:19">
      <c r="R2077" s="199">
        <v>44628</v>
      </c>
      <c r="S2077" s="180">
        <v>4.2919999999999998</v>
      </c>
    </row>
    <row r="2078" spans="18:19">
      <c r="R2078" s="199">
        <v>44629</v>
      </c>
      <c r="S2078" s="180">
        <v>4.2919999999999998</v>
      </c>
    </row>
    <row r="2079" spans="18:19">
      <c r="R2079" s="199">
        <v>44630</v>
      </c>
      <c r="S2079" s="180">
        <v>4.2919999999999998</v>
      </c>
    </row>
    <row r="2080" spans="18:19">
      <c r="R2080" s="199">
        <v>44631</v>
      </c>
      <c r="S2080" s="180">
        <v>4.2919999999999998</v>
      </c>
    </row>
    <row r="2081" spans="18:19">
      <c r="R2081" s="199">
        <v>44634</v>
      </c>
      <c r="S2081" s="180">
        <v>4.2919999999999998</v>
      </c>
    </row>
    <row r="2082" spans="18:19">
      <c r="R2082" s="199">
        <v>44635</v>
      </c>
      <c r="S2082" s="180">
        <v>4.2919999999999998</v>
      </c>
    </row>
    <row r="2083" spans="18:19">
      <c r="R2083" s="199">
        <v>44636</v>
      </c>
      <c r="S2083" s="180">
        <v>4.2919999999999998</v>
      </c>
    </row>
    <row r="2084" spans="18:19">
      <c r="R2084" s="199">
        <v>44637</v>
      </c>
      <c r="S2084" s="180">
        <v>4.2919999999999998</v>
      </c>
    </row>
    <row r="2085" spans="18:19">
      <c r="R2085" s="199">
        <v>44638</v>
      </c>
      <c r="S2085" s="180">
        <v>4.2919999999999998</v>
      </c>
    </row>
    <row r="2086" spans="18:19">
      <c r="R2086" s="199">
        <v>44641</v>
      </c>
      <c r="S2086" s="180">
        <v>4.2919999999999998</v>
      </c>
    </row>
    <row r="2087" spans="18:19">
      <c r="R2087" s="199">
        <v>44642</v>
      </c>
      <c r="S2087" s="180">
        <v>4.2919999999999998</v>
      </c>
    </row>
    <row r="2088" spans="18:19">
      <c r="R2088" s="199">
        <v>44643</v>
      </c>
      <c r="S2088" s="180">
        <v>4.2919999999999998</v>
      </c>
    </row>
    <row r="2089" spans="18:19">
      <c r="R2089" s="199">
        <v>44644</v>
      </c>
      <c r="S2089" s="180">
        <v>4.2919999999999998</v>
      </c>
    </row>
    <row r="2090" spans="18:19">
      <c r="R2090" s="199">
        <v>44645</v>
      </c>
      <c r="S2090" s="180">
        <v>4.2919999999999998</v>
      </c>
    </row>
    <row r="2091" spans="18:19">
      <c r="R2091" s="199">
        <v>44648</v>
      </c>
      <c r="S2091" s="180">
        <v>4.2919999999999998</v>
      </c>
    </row>
    <row r="2092" spans="18:19">
      <c r="R2092" s="199">
        <v>44649</v>
      </c>
      <c r="S2092" s="180">
        <v>4.2919999999999998</v>
      </c>
    </row>
    <row r="2093" spans="18:19">
      <c r="R2093" s="199">
        <v>44650</v>
      </c>
      <c r="S2093" s="180">
        <v>4.2919999999999998</v>
      </c>
    </row>
    <row r="2094" spans="18:19">
      <c r="R2094" s="199">
        <v>44651</v>
      </c>
      <c r="S2094" s="180">
        <v>4.2919999999999998</v>
      </c>
    </row>
    <row r="2095" spans="18:19">
      <c r="R2095" s="199">
        <v>44652</v>
      </c>
      <c r="S2095" s="180">
        <v>4.2919999999999998</v>
      </c>
    </row>
    <row r="2096" spans="18:19">
      <c r="R2096" s="199">
        <v>44655</v>
      </c>
      <c r="S2096" s="180">
        <v>4.2919999999999998</v>
      </c>
    </row>
    <row r="2097" spans="18:19">
      <c r="R2097" s="199">
        <v>44656</v>
      </c>
      <c r="S2097" s="180">
        <v>4.2919999999999998</v>
      </c>
    </row>
    <row r="2098" spans="18:19">
      <c r="R2098" s="199">
        <v>44657</v>
      </c>
      <c r="S2098" s="180">
        <v>4.2919999999999998</v>
      </c>
    </row>
    <row r="2099" spans="18:19">
      <c r="R2099" s="199">
        <v>44658</v>
      </c>
      <c r="S2099" s="180">
        <v>4.2919999999999998</v>
      </c>
    </row>
    <row r="2100" spans="18:19">
      <c r="R2100" s="199">
        <v>44659</v>
      </c>
      <c r="S2100" s="180">
        <v>4.2919999999999998</v>
      </c>
    </row>
    <row r="2101" spans="18:19">
      <c r="R2101" s="199">
        <v>44662</v>
      </c>
      <c r="S2101" s="180">
        <v>4.2919999999999998</v>
      </c>
    </row>
    <row r="2102" spans="18:19">
      <c r="R2102" s="199">
        <v>44663</v>
      </c>
      <c r="S2102" s="180">
        <v>4.2919999999999998</v>
      </c>
    </row>
    <row r="2103" spans="18:19">
      <c r="R2103" s="199">
        <v>44664</v>
      </c>
      <c r="S2103" s="180">
        <v>4.2919999999999998</v>
      </c>
    </row>
    <row r="2104" spans="18:19">
      <c r="R2104" s="199">
        <v>44665</v>
      </c>
      <c r="S2104" s="180">
        <v>4.2919999999999998</v>
      </c>
    </row>
    <row r="2105" spans="18:19">
      <c r="R2105" s="199">
        <v>44670</v>
      </c>
      <c r="S2105" s="180">
        <v>4.2919999999999998</v>
      </c>
    </row>
    <row r="2106" spans="18:19">
      <c r="R2106" s="199">
        <v>44671</v>
      </c>
      <c r="S2106" s="180">
        <v>4.2919999999999998</v>
      </c>
    </row>
    <row r="2107" spans="18:19">
      <c r="R2107" s="199">
        <v>44672</v>
      </c>
      <c r="S2107" s="180">
        <v>4.2919999999999998</v>
      </c>
    </row>
    <row r="2108" spans="18:19">
      <c r="R2108" s="199">
        <v>44673</v>
      </c>
      <c r="S2108" s="180">
        <v>4.2919999999999998</v>
      </c>
    </row>
    <row r="2109" spans="18:19">
      <c r="R2109" s="199">
        <v>44677</v>
      </c>
      <c r="S2109" s="180">
        <v>4.2919999999999998</v>
      </c>
    </row>
    <row r="2110" spans="18:19">
      <c r="R2110" s="199">
        <v>44678</v>
      </c>
      <c r="S2110" s="180">
        <v>4.2919999999999998</v>
      </c>
    </row>
    <row r="2111" spans="18:19">
      <c r="R2111" s="199">
        <v>44679</v>
      </c>
      <c r="S2111" s="180">
        <v>4.2919999999999998</v>
      </c>
    </row>
    <row r="2112" spans="18:19">
      <c r="R2112" s="199">
        <v>44680</v>
      </c>
      <c r="S2112" s="180">
        <v>4.2919999999999998</v>
      </c>
    </row>
    <row r="2113" spans="18:19">
      <c r="R2113" s="199">
        <v>44683</v>
      </c>
      <c r="S2113" s="180">
        <v>4.2919999999999998</v>
      </c>
    </row>
    <row r="2114" spans="18:19">
      <c r="R2114" s="199">
        <v>44684</v>
      </c>
      <c r="S2114" s="180">
        <v>4.2919999999999998</v>
      </c>
    </row>
    <row r="2115" spans="18:19">
      <c r="R2115" s="199">
        <v>44685</v>
      </c>
      <c r="S2115" s="180">
        <v>4.2919999999999998</v>
      </c>
    </row>
    <row r="2116" spans="18:19">
      <c r="R2116" s="199">
        <v>44686</v>
      </c>
      <c r="S2116" s="180">
        <v>4.2919999999999998</v>
      </c>
    </row>
    <row r="2117" spans="18:19">
      <c r="R2117" s="199">
        <v>44687</v>
      </c>
      <c r="S2117" s="180">
        <v>4.2919999999999998</v>
      </c>
    </row>
    <row r="2118" spans="18:19">
      <c r="R2118" s="199">
        <v>44690</v>
      </c>
      <c r="S2118" s="180">
        <v>4.2919999999999998</v>
      </c>
    </row>
    <row r="2119" spans="18:19">
      <c r="R2119" s="199">
        <v>44691</v>
      </c>
      <c r="S2119" s="180">
        <v>4.2919999999999998</v>
      </c>
    </row>
    <row r="2120" spans="18:19">
      <c r="R2120" s="199">
        <v>44692</v>
      </c>
      <c r="S2120" s="180">
        <v>4.2919999999999998</v>
      </c>
    </row>
    <row r="2121" spans="18:19">
      <c r="R2121" s="199">
        <v>44693</v>
      </c>
      <c r="S2121" s="180">
        <v>4.2919999999999998</v>
      </c>
    </row>
    <row r="2122" spans="18:19">
      <c r="R2122" s="199">
        <v>44694</v>
      </c>
      <c r="S2122" s="180">
        <v>4.2919999999999998</v>
      </c>
    </row>
    <row r="2123" spans="18:19">
      <c r="R2123" s="199">
        <v>44697</v>
      </c>
      <c r="S2123" s="180">
        <v>4.2919999999999998</v>
      </c>
    </row>
    <row r="2124" spans="18:19">
      <c r="R2124" s="199">
        <v>44698</v>
      </c>
      <c r="S2124" s="180">
        <v>4.2919999999999998</v>
      </c>
    </row>
    <row r="2125" spans="18:19">
      <c r="R2125" s="199">
        <v>44699</v>
      </c>
      <c r="S2125" s="180">
        <v>4.2919999999999998</v>
      </c>
    </row>
    <row r="2126" spans="18:19">
      <c r="R2126" s="199">
        <v>44700</v>
      </c>
      <c r="S2126" s="180">
        <v>4.2919999999999998</v>
      </c>
    </row>
    <row r="2127" spans="18:19">
      <c r="R2127" s="199">
        <v>44701</v>
      </c>
      <c r="S2127" s="180">
        <v>4.2919999999999998</v>
      </c>
    </row>
    <row r="2128" spans="18:19">
      <c r="R2128" s="199">
        <v>44704</v>
      </c>
      <c r="S2128" s="180">
        <v>4.2919999999999998</v>
      </c>
    </row>
    <row r="2129" spans="18:19">
      <c r="R2129" s="199">
        <v>44705</v>
      </c>
      <c r="S2129" s="180">
        <v>4.2919999999999998</v>
      </c>
    </row>
    <row r="2130" spans="18:19">
      <c r="R2130" s="199">
        <v>44706</v>
      </c>
      <c r="S2130" s="180">
        <v>4.2919999999999998</v>
      </c>
    </row>
    <row r="2131" spans="18:19">
      <c r="R2131" s="199">
        <v>44707</v>
      </c>
      <c r="S2131" s="180">
        <v>4.2919999999999998</v>
      </c>
    </row>
    <row r="2132" spans="18:19">
      <c r="R2132" s="199">
        <v>44708</v>
      </c>
      <c r="S2132" s="180">
        <v>4.2919999999999998</v>
      </c>
    </row>
    <row r="2133" spans="18:19">
      <c r="R2133" s="199">
        <v>44711</v>
      </c>
      <c r="S2133" s="180">
        <v>4.2919999999999998</v>
      </c>
    </row>
    <row r="2134" spans="18:19">
      <c r="R2134" s="199">
        <v>44712</v>
      </c>
      <c r="S2134" s="180">
        <v>4.2919999999999998</v>
      </c>
    </row>
    <row r="2135" spans="18:19">
      <c r="R2135" s="199">
        <v>44713</v>
      </c>
      <c r="S2135" s="180">
        <v>4.2919999999999998</v>
      </c>
    </row>
    <row r="2136" spans="18:19">
      <c r="R2136" s="199">
        <v>44714</v>
      </c>
      <c r="S2136" s="180">
        <v>4.2919999999999998</v>
      </c>
    </row>
    <row r="2137" spans="18:19">
      <c r="R2137" s="199">
        <v>44715</v>
      </c>
      <c r="S2137" s="180">
        <v>4.2919999999999998</v>
      </c>
    </row>
    <row r="2138" spans="18:19">
      <c r="R2138" s="199">
        <v>44718</v>
      </c>
      <c r="S2138" s="180">
        <v>4.2919999999999998</v>
      </c>
    </row>
    <row r="2139" spans="18:19">
      <c r="R2139" s="199">
        <v>44719</v>
      </c>
      <c r="S2139" s="180">
        <v>4.2919999999999998</v>
      </c>
    </row>
    <row r="2140" spans="18:19">
      <c r="R2140" s="199">
        <v>44720</v>
      </c>
      <c r="S2140" s="180">
        <v>4.2919999999999998</v>
      </c>
    </row>
    <row r="2141" spans="18:19">
      <c r="R2141" s="199">
        <v>44721</v>
      </c>
      <c r="S2141" s="180">
        <v>4.2919999999999998</v>
      </c>
    </row>
    <row r="2142" spans="18:19">
      <c r="R2142" s="199">
        <v>44722</v>
      </c>
      <c r="S2142" s="180">
        <v>4.2919999999999998</v>
      </c>
    </row>
    <row r="2143" spans="18:19">
      <c r="R2143" s="199">
        <v>44726</v>
      </c>
      <c r="S2143" s="180">
        <v>4.2919999999999998</v>
      </c>
    </row>
    <row r="2144" spans="18:19">
      <c r="R2144" s="199">
        <v>44727</v>
      </c>
      <c r="S2144" s="180">
        <v>4.2919999999999998</v>
      </c>
    </row>
    <row r="2145" spans="18:19">
      <c r="R2145" s="199">
        <v>44728</v>
      </c>
      <c r="S2145" s="180">
        <v>4.2919999999999998</v>
      </c>
    </row>
    <row r="2146" spans="18:19">
      <c r="R2146" s="199">
        <v>44729</v>
      </c>
      <c r="S2146" s="180">
        <v>4.2919999999999998</v>
      </c>
    </row>
    <row r="2147" spans="18:19">
      <c r="R2147" s="199">
        <v>44732</v>
      </c>
      <c r="S2147" s="180">
        <v>4.2919999999999998</v>
      </c>
    </row>
    <row r="2148" spans="18:19">
      <c r="R2148" s="199">
        <v>44733</v>
      </c>
      <c r="S2148" s="180">
        <v>4.2919999999999998</v>
      </c>
    </row>
    <row r="2149" spans="18:19">
      <c r="R2149" s="199">
        <v>44734</v>
      </c>
      <c r="S2149" s="180">
        <v>4.2919999999999998</v>
      </c>
    </row>
    <row r="2150" spans="18:19">
      <c r="R2150" s="199">
        <v>44735</v>
      </c>
      <c r="S2150" s="180">
        <v>4.2919999999999998</v>
      </c>
    </row>
    <row r="2151" spans="18:19">
      <c r="R2151" s="199">
        <v>44736</v>
      </c>
      <c r="S2151" s="180">
        <v>4.2919999999999998</v>
      </c>
    </row>
    <row r="2152" spans="18:19">
      <c r="R2152" s="199">
        <v>44739</v>
      </c>
      <c r="S2152" s="180">
        <v>4.2919999999999998</v>
      </c>
    </row>
    <row r="2153" spans="18:19">
      <c r="R2153" s="199">
        <v>44740</v>
      </c>
      <c r="S2153" s="180">
        <v>4.2919999999999998</v>
      </c>
    </row>
    <row r="2154" spans="18:19">
      <c r="R2154" s="199">
        <v>44741</v>
      </c>
      <c r="S2154" s="180">
        <v>4.2919999999999998</v>
      </c>
    </row>
    <row r="2155" spans="18:19">
      <c r="R2155" s="199">
        <v>44742</v>
      </c>
      <c r="S2155" s="180">
        <v>4.2919999999999998</v>
      </c>
    </row>
    <row r="2156" spans="18:19">
      <c r="R2156" s="199">
        <v>44743</v>
      </c>
      <c r="S2156" s="180">
        <v>4.2919999999999998</v>
      </c>
    </row>
    <row r="2157" spans="18:19">
      <c r="R2157" s="199">
        <v>44746</v>
      </c>
      <c r="S2157" s="180">
        <v>4.2919999999999998</v>
      </c>
    </row>
    <row r="2158" spans="18:19">
      <c r="R2158" s="199">
        <v>44747</v>
      </c>
      <c r="S2158" s="180">
        <v>4.2919999999999998</v>
      </c>
    </row>
    <row r="2159" spans="18:19">
      <c r="R2159" s="199">
        <v>44748</v>
      </c>
      <c r="S2159" s="180">
        <v>4.2919999999999998</v>
      </c>
    </row>
    <row r="2160" spans="18:19">
      <c r="R2160" s="199">
        <v>44749</v>
      </c>
      <c r="S2160" s="180">
        <v>4.2919999999999998</v>
      </c>
    </row>
    <row r="2161" spans="18:19">
      <c r="R2161" s="199">
        <v>44750</v>
      </c>
      <c r="S2161" s="180">
        <v>4.2919999999999998</v>
      </c>
    </row>
    <row r="2162" spans="18:19">
      <c r="R2162" s="199">
        <v>44753</v>
      </c>
      <c r="S2162" s="180">
        <v>4.2919999999999998</v>
      </c>
    </row>
    <row r="2163" spans="18:19">
      <c r="R2163" s="199">
        <v>44754</v>
      </c>
      <c r="S2163" s="180">
        <v>4.2919999999999998</v>
      </c>
    </row>
    <row r="2164" spans="18:19">
      <c r="R2164" s="199">
        <v>44755</v>
      </c>
      <c r="S2164" s="180">
        <v>4.2919999999999998</v>
      </c>
    </row>
    <row r="2165" spans="18:19">
      <c r="R2165" s="199">
        <v>44756</v>
      </c>
      <c r="S2165" s="180">
        <v>4.2919999999999998</v>
      </c>
    </row>
    <row r="2166" spans="18:19">
      <c r="R2166" s="199">
        <v>44757</v>
      </c>
      <c r="S2166" s="180">
        <v>4.2919999999999998</v>
      </c>
    </row>
    <row r="2167" spans="18:19">
      <c r="R2167" s="199">
        <v>44760</v>
      </c>
      <c r="S2167" s="180">
        <v>4.2919999999999998</v>
      </c>
    </row>
    <row r="2168" spans="18:19">
      <c r="R2168" s="199">
        <v>44761</v>
      </c>
      <c r="S2168" s="180">
        <v>4.2919999999999998</v>
      </c>
    </row>
    <row r="2169" spans="18:19">
      <c r="R2169" s="199">
        <v>44762</v>
      </c>
      <c r="S2169" s="180">
        <v>4.2919999999999998</v>
      </c>
    </row>
    <row r="2170" spans="18:19">
      <c r="R2170" s="199">
        <v>44763</v>
      </c>
      <c r="S2170" s="180">
        <v>4.2919999999999998</v>
      </c>
    </row>
    <row r="2171" spans="18:19">
      <c r="R2171" s="199">
        <v>44764</v>
      </c>
      <c r="S2171" s="180">
        <v>4.2919999999999998</v>
      </c>
    </row>
    <row r="2172" spans="18:19">
      <c r="R2172" s="199">
        <v>44767</v>
      </c>
      <c r="S2172" s="180">
        <v>4.2919999999999998</v>
      </c>
    </row>
    <row r="2173" spans="18:19">
      <c r="R2173" s="199">
        <v>44768</v>
      </c>
      <c r="S2173" s="180">
        <v>4.2919999999999998</v>
      </c>
    </row>
    <row r="2174" spans="18:19">
      <c r="R2174" s="199">
        <v>44769</v>
      </c>
      <c r="S2174" s="180">
        <v>4.2919999999999998</v>
      </c>
    </row>
    <row r="2175" spans="18:19">
      <c r="R2175" s="199">
        <v>44770</v>
      </c>
      <c r="S2175" s="180">
        <v>4.2919999999999998</v>
      </c>
    </row>
    <row r="2176" spans="18:19">
      <c r="R2176" s="199">
        <v>44771</v>
      </c>
      <c r="S2176" s="180">
        <v>4.2919999999999998</v>
      </c>
    </row>
    <row r="2177" spans="18:19">
      <c r="R2177" s="199">
        <v>44774</v>
      </c>
      <c r="S2177" s="180">
        <v>4.2919999999999998</v>
      </c>
    </row>
    <row r="2178" spans="18:19">
      <c r="R2178" s="199">
        <v>44775</v>
      </c>
      <c r="S2178" s="180">
        <v>4.2919999999999998</v>
      </c>
    </row>
    <row r="2179" spans="18:19">
      <c r="R2179" s="199">
        <v>44776</v>
      </c>
      <c r="S2179" s="180">
        <v>4.2919999999999998</v>
      </c>
    </row>
    <row r="2180" spans="18:19">
      <c r="R2180" s="199">
        <v>44777</v>
      </c>
      <c r="S2180" s="180">
        <v>4.2919999999999998</v>
      </c>
    </row>
    <row r="2181" spans="18:19">
      <c r="R2181" s="199">
        <v>44778</v>
      </c>
      <c r="S2181" s="180">
        <v>4.2919999999999998</v>
      </c>
    </row>
    <row r="2182" spans="18:19">
      <c r="R2182" s="199">
        <v>44781</v>
      </c>
      <c r="S2182" s="180">
        <v>4.2919999999999998</v>
      </c>
    </row>
    <row r="2183" spans="18:19">
      <c r="R2183" s="199">
        <v>44782</v>
      </c>
      <c r="S2183" s="180">
        <v>4.2919999999999998</v>
      </c>
    </row>
    <row r="2184" spans="18:19">
      <c r="R2184" s="199">
        <v>44783</v>
      </c>
      <c r="S2184" s="180">
        <v>4.2919999999999998</v>
      </c>
    </row>
    <row r="2185" spans="18:19">
      <c r="R2185" s="199">
        <v>44784</v>
      </c>
      <c r="S2185" s="180">
        <v>4.2919999999999998</v>
      </c>
    </row>
    <row r="2186" spans="18:19">
      <c r="R2186" s="199">
        <v>44785</v>
      </c>
      <c r="S2186" s="180">
        <v>4.2919999999999998</v>
      </c>
    </row>
    <row r="2187" spans="18:19">
      <c r="R2187" s="199">
        <v>44788</v>
      </c>
      <c r="S2187" s="180">
        <v>4.2919999999999998</v>
      </c>
    </row>
    <row r="2188" spans="18:19">
      <c r="R2188" s="199">
        <v>44789</v>
      </c>
      <c r="S2188" s="180">
        <v>4.2919999999999998</v>
      </c>
    </row>
    <row r="2189" spans="18:19">
      <c r="R2189" s="199">
        <v>44790</v>
      </c>
      <c r="S2189" s="180">
        <v>4.2919999999999998</v>
      </c>
    </row>
    <row r="2190" spans="18:19">
      <c r="R2190" s="199">
        <v>44791</v>
      </c>
      <c r="S2190" s="180">
        <v>4.2919999999999998</v>
      </c>
    </row>
    <row r="2191" spans="18:19">
      <c r="R2191" s="199">
        <v>44792</v>
      </c>
      <c r="S2191" s="180">
        <v>4.2919999999999998</v>
      </c>
    </row>
    <row r="2192" spans="18:19">
      <c r="R2192" s="199">
        <v>44795</v>
      </c>
      <c r="S2192" s="180">
        <v>4.2919999999999998</v>
      </c>
    </row>
    <row r="2193" spans="18:19">
      <c r="R2193" s="199">
        <v>44796</v>
      </c>
      <c r="S2193" s="180">
        <v>4.2919999999999998</v>
      </c>
    </row>
    <row r="2194" spans="18:19">
      <c r="R2194" s="199">
        <v>44797</v>
      </c>
      <c r="S2194" s="180">
        <v>4.2919999999999998</v>
      </c>
    </row>
    <row r="2195" spans="18:19">
      <c r="R2195" s="199">
        <v>44798</v>
      </c>
      <c r="S2195" s="180">
        <v>4.2919999999999998</v>
      </c>
    </row>
    <row r="2196" spans="18:19">
      <c r="R2196" s="199">
        <v>44799</v>
      </c>
      <c r="S2196" s="180">
        <v>4.2919999999999998</v>
      </c>
    </row>
    <row r="2197" spans="18:19">
      <c r="R2197" s="199">
        <v>44802</v>
      </c>
      <c r="S2197" s="180">
        <v>4.2919999999999998</v>
      </c>
    </row>
    <row r="2198" spans="18:19">
      <c r="R2198" s="199">
        <v>44803</v>
      </c>
      <c r="S2198" s="180">
        <v>4.2919999999999998</v>
      </c>
    </row>
    <row r="2199" spans="18:19">
      <c r="R2199" s="199">
        <v>44804</v>
      </c>
      <c r="S2199" s="180">
        <v>4.2919999999999998</v>
      </c>
    </row>
    <row r="2200" spans="18:19">
      <c r="R2200" s="199">
        <v>44805</v>
      </c>
      <c r="S2200" s="180">
        <v>4.2919999999999998</v>
      </c>
    </row>
    <row r="2201" spans="18:19">
      <c r="R2201" s="199">
        <v>44806</v>
      </c>
      <c r="S2201" s="180">
        <v>4.2919999999999998</v>
      </c>
    </row>
    <row r="2202" spans="18:19">
      <c r="R2202" s="199">
        <v>44809</v>
      </c>
      <c r="S2202" s="180">
        <v>4.2919999999999998</v>
      </c>
    </row>
    <row r="2203" spans="18:19">
      <c r="R2203" s="199">
        <v>44810</v>
      </c>
      <c r="S2203" s="180">
        <v>4.2919999999999998</v>
      </c>
    </row>
    <row r="2204" spans="18:19">
      <c r="R2204" s="199">
        <v>44811</v>
      </c>
      <c r="S2204" s="180">
        <v>4.2919999999999998</v>
      </c>
    </row>
    <row r="2205" spans="18:19">
      <c r="R2205" s="199">
        <v>44812</v>
      </c>
      <c r="S2205" s="180">
        <v>4.2919999999999998</v>
      </c>
    </row>
    <row r="2206" spans="18:19">
      <c r="R2206" s="199">
        <v>44813</v>
      </c>
      <c r="S2206" s="180">
        <v>4.2919999999999998</v>
      </c>
    </row>
    <row r="2207" spans="18:19">
      <c r="R2207" s="199">
        <v>44816</v>
      </c>
      <c r="S2207" s="180">
        <v>4.2919999999999998</v>
      </c>
    </row>
    <row r="2208" spans="18:19">
      <c r="R2208" s="199">
        <v>44817</v>
      </c>
      <c r="S2208" s="180">
        <v>4.2919999999999998</v>
      </c>
    </row>
    <row r="2209" spans="18:19">
      <c r="R2209" s="199">
        <v>44818</v>
      </c>
      <c r="S2209" s="180">
        <v>4.2919999999999998</v>
      </c>
    </row>
    <row r="2210" spans="18:19">
      <c r="R2210" s="199">
        <v>44819</v>
      </c>
      <c r="S2210" s="180">
        <v>4.2919999999999998</v>
      </c>
    </row>
    <row r="2211" spans="18:19">
      <c r="R2211" s="199">
        <v>44820</v>
      </c>
      <c r="S2211" s="180">
        <v>4.2919999999999998</v>
      </c>
    </row>
    <row r="2212" spans="18:19">
      <c r="R2212" s="199">
        <v>44823</v>
      </c>
      <c r="S2212" s="180">
        <v>4.2919999999999998</v>
      </c>
    </row>
    <row r="2213" spans="18:19">
      <c r="R2213" s="199">
        <v>44824</v>
      </c>
      <c r="S2213" s="180">
        <v>4.2919999999999998</v>
      </c>
    </row>
    <row r="2214" spans="18:19">
      <c r="R2214" s="199">
        <v>44825</v>
      </c>
      <c r="S2214" s="180">
        <v>4.2919999999999998</v>
      </c>
    </row>
    <row r="2215" spans="18:19">
      <c r="R2215" s="199">
        <v>44827</v>
      </c>
      <c r="S2215" s="180">
        <v>4.2919999999999998</v>
      </c>
    </row>
    <row r="2216" spans="18:19">
      <c r="R2216" s="199">
        <v>44830</v>
      </c>
      <c r="S2216" s="180">
        <v>4.2919999999999998</v>
      </c>
    </row>
    <row r="2217" spans="18:19">
      <c r="R2217" s="199">
        <v>44831</v>
      </c>
      <c r="S2217" s="180">
        <v>4.2919999999999998</v>
      </c>
    </row>
    <row r="2218" spans="18:19">
      <c r="R2218" s="199">
        <v>44832</v>
      </c>
      <c r="S2218" s="180">
        <v>4.2919999999999998</v>
      </c>
    </row>
    <row r="2219" spans="18:19">
      <c r="R2219" s="199">
        <v>44833</v>
      </c>
      <c r="S2219" s="180">
        <v>4.2919999999999998</v>
      </c>
    </row>
    <row r="2220" spans="18:19">
      <c r="R2220" s="199">
        <v>44834</v>
      </c>
      <c r="S2220" s="180">
        <v>4.2919999999999998</v>
      </c>
    </row>
    <row r="2221" spans="18:19">
      <c r="R2221" s="199">
        <v>44837</v>
      </c>
      <c r="S2221" s="180">
        <v>4.2919999999999998</v>
      </c>
    </row>
    <row r="2222" spans="18:19">
      <c r="R2222" s="199">
        <v>44838</v>
      </c>
      <c r="S2222" s="180">
        <v>4.2919999999999998</v>
      </c>
    </row>
    <row r="2223" spans="18:19">
      <c r="R2223" s="199">
        <v>44839</v>
      </c>
      <c r="S2223" s="180">
        <v>4.2919999999999998</v>
      </c>
    </row>
    <row r="2224" spans="18:19">
      <c r="R2224" s="199">
        <v>44840</v>
      </c>
      <c r="S2224" s="180">
        <v>4.2919999999999998</v>
      </c>
    </row>
    <row r="2225" spans="18:19">
      <c r="R2225" s="199">
        <v>44841</v>
      </c>
      <c r="S2225" s="180">
        <v>4.2919999999999998</v>
      </c>
    </row>
    <row r="2226" spans="18:19">
      <c r="R2226" s="199">
        <v>44844</v>
      </c>
      <c r="S2226" s="180">
        <v>4.2919999999999998</v>
      </c>
    </row>
    <row r="2227" spans="18:19">
      <c r="R2227" s="199">
        <v>44845</v>
      </c>
      <c r="S2227" s="180">
        <v>4.2919999999999998</v>
      </c>
    </row>
    <row r="2228" spans="18:19">
      <c r="R2228" s="199">
        <v>44846</v>
      </c>
      <c r="S2228" s="180">
        <v>4.2919999999999998</v>
      </c>
    </row>
    <row r="2229" spans="18:19">
      <c r="R2229" s="199">
        <v>44847</v>
      </c>
      <c r="S2229" s="180">
        <v>4.2919999999999998</v>
      </c>
    </row>
    <row r="2230" spans="18:19">
      <c r="R2230" s="199">
        <v>44848</v>
      </c>
      <c r="S2230" s="180">
        <v>4.2919999999999998</v>
      </c>
    </row>
    <row r="2231" spans="18:19">
      <c r="R2231" s="199">
        <v>44851</v>
      </c>
      <c r="S2231" s="180">
        <v>4.2919999999999998</v>
      </c>
    </row>
    <row r="2232" spans="18:19">
      <c r="R2232" s="199">
        <v>44852</v>
      </c>
      <c r="S2232" s="180">
        <v>4.2919999999999998</v>
      </c>
    </row>
    <row r="2233" spans="18:19">
      <c r="R2233" s="199">
        <v>44853</v>
      </c>
      <c r="S2233" s="180">
        <v>4.2919999999999998</v>
      </c>
    </row>
    <row r="2234" spans="18:19">
      <c r="R2234" s="199">
        <v>44854</v>
      </c>
      <c r="S2234" s="180">
        <v>4.2919999999999998</v>
      </c>
    </row>
    <row r="2235" spans="18:19">
      <c r="R2235" s="199">
        <v>44855</v>
      </c>
      <c r="S2235" s="180">
        <v>4.2919999999999998</v>
      </c>
    </row>
    <row r="2236" spans="18:19">
      <c r="R2236" s="199">
        <v>44858</v>
      </c>
      <c r="S2236" s="180">
        <v>4.2919999999999998</v>
      </c>
    </row>
    <row r="2237" spans="18:19">
      <c r="R2237" s="199">
        <v>44859</v>
      </c>
      <c r="S2237" s="180">
        <v>4.2919999999999998</v>
      </c>
    </row>
    <row r="2238" spans="18:19">
      <c r="R2238" s="199">
        <v>44860</v>
      </c>
      <c r="S2238" s="180">
        <v>4.2919999999999998</v>
      </c>
    </row>
    <row r="2239" spans="18:19">
      <c r="R2239" s="199">
        <v>44861</v>
      </c>
      <c r="S2239" s="180">
        <v>4.2919999999999998</v>
      </c>
    </row>
    <row r="2240" spans="18:19">
      <c r="R2240" s="199">
        <v>44862</v>
      </c>
      <c r="S2240" s="180">
        <v>4.2919999999999998</v>
      </c>
    </row>
    <row r="2241" spans="18:19">
      <c r="R2241" s="199">
        <v>44865</v>
      </c>
      <c r="S2241" s="180">
        <v>4.2919999999999998</v>
      </c>
    </row>
    <row r="2242" spans="18:19">
      <c r="R2242" s="199">
        <v>44866</v>
      </c>
      <c r="S2242" s="180">
        <v>4.2919999999999998</v>
      </c>
    </row>
    <row r="2243" spans="18:19">
      <c r="R2243" s="199">
        <v>44867</v>
      </c>
      <c r="S2243" s="180">
        <v>4.2919999999999998</v>
      </c>
    </row>
    <row r="2244" spans="18:19">
      <c r="R2244" s="199">
        <v>44868</v>
      </c>
      <c r="S2244" s="180">
        <v>4.2919999999999998</v>
      </c>
    </row>
    <row r="2245" spans="18:19">
      <c r="R2245" s="199">
        <v>44869</v>
      </c>
      <c r="S2245" s="180">
        <v>4.2919999999999998</v>
      </c>
    </row>
    <row r="2246" spans="18:19">
      <c r="R2246" s="199">
        <v>44872</v>
      </c>
      <c r="S2246" s="180">
        <v>4.2919999999999998</v>
      </c>
    </row>
    <row r="2247" spans="18:19">
      <c r="R2247" s="199">
        <v>44873</v>
      </c>
      <c r="S2247" s="180">
        <v>4.2919999999999998</v>
      </c>
    </row>
    <row r="2248" spans="18:19">
      <c r="R2248" s="199">
        <v>44874</v>
      </c>
      <c r="S2248" s="180">
        <v>4.2919999999999998</v>
      </c>
    </row>
    <row r="2249" spans="18:19">
      <c r="R2249" s="199">
        <v>44875</v>
      </c>
      <c r="S2249" s="180">
        <v>4.2919999999999998</v>
      </c>
    </row>
    <row r="2250" spans="18:19">
      <c r="R2250" s="199">
        <v>44876</v>
      </c>
      <c r="S2250" s="180">
        <v>4.2919999999999998</v>
      </c>
    </row>
    <row r="2251" spans="18:19">
      <c r="R2251" s="199">
        <v>44879</v>
      </c>
      <c r="S2251" s="180">
        <v>4.2919999999999998</v>
      </c>
    </row>
    <row r="2252" spans="18:19">
      <c r="R2252" s="199">
        <v>44880</v>
      </c>
      <c r="S2252" s="180">
        <v>4.2919999999999998</v>
      </c>
    </row>
    <row r="2253" spans="18:19">
      <c r="R2253" s="199">
        <v>44881</v>
      </c>
      <c r="S2253" s="180">
        <v>4.2919999999999998</v>
      </c>
    </row>
    <row r="2254" spans="18:19">
      <c r="R2254" s="199">
        <v>44882</v>
      </c>
      <c r="S2254" s="180">
        <v>4.2919999999999998</v>
      </c>
    </row>
    <row r="2255" spans="18:19">
      <c r="R2255" s="199">
        <v>44883</v>
      </c>
      <c r="S2255" s="180">
        <v>4.2919999999999998</v>
      </c>
    </row>
    <row r="2256" spans="18:19">
      <c r="R2256" s="199">
        <v>44886</v>
      </c>
      <c r="S2256" s="180">
        <v>4.2919999999999998</v>
      </c>
    </row>
    <row r="2257" spans="18:19">
      <c r="R2257" s="199">
        <v>44887</v>
      </c>
      <c r="S2257" s="180">
        <v>4.2919999999999998</v>
      </c>
    </row>
    <row r="2258" spans="18:19">
      <c r="R2258" s="199">
        <v>44888</v>
      </c>
      <c r="S2258" s="180">
        <v>4.2919999999999998</v>
      </c>
    </row>
    <row r="2259" spans="18:19">
      <c r="R2259" s="199">
        <v>44889</v>
      </c>
      <c r="S2259" s="180">
        <v>4.2919999999999998</v>
      </c>
    </row>
    <row r="2260" spans="18:19">
      <c r="R2260" s="199">
        <v>44890</v>
      </c>
      <c r="S2260" s="180">
        <v>4.2919999999999998</v>
      </c>
    </row>
    <row r="2261" spans="18:19">
      <c r="R2261" s="199">
        <v>44893</v>
      </c>
      <c r="S2261" s="180">
        <v>4.2919999999999998</v>
      </c>
    </row>
    <row r="2262" spans="18:19">
      <c r="R2262" s="199">
        <v>44894</v>
      </c>
      <c r="S2262" s="180">
        <v>4.2919999999999998</v>
      </c>
    </row>
    <row r="2263" spans="18:19">
      <c r="R2263" s="199">
        <v>44895</v>
      </c>
      <c r="S2263" s="180">
        <v>4.2919999999999998</v>
      </c>
    </row>
    <row r="2264" spans="18:19">
      <c r="R2264" s="199">
        <v>44896</v>
      </c>
      <c r="S2264" s="180">
        <v>4.2919999999999998</v>
      </c>
    </row>
    <row r="2265" spans="18:19">
      <c r="R2265" s="199">
        <v>44897</v>
      </c>
      <c r="S2265" s="180">
        <v>4.2919999999999998</v>
      </c>
    </row>
    <row r="2266" spans="18:19">
      <c r="R2266" s="199">
        <v>44900</v>
      </c>
      <c r="S2266" s="180">
        <v>4.2919999999999998</v>
      </c>
    </row>
    <row r="2267" spans="18:19">
      <c r="R2267" s="199">
        <v>44901</v>
      </c>
      <c r="S2267" s="180">
        <v>4.2919999999999998</v>
      </c>
    </row>
    <row r="2268" spans="18:19">
      <c r="R2268" s="199">
        <v>44902</v>
      </c>
      <c r="S2268" s="180">
        <v>4.2919999999999998</v>
      </c>
    </row>
    <row r="2269" spans="18:19">
      <c r="R2269" s="199">
        <v>44903</v>
      </c>
      <c r="S2269" s="180">
        <v>4.2919999999999998</v>
      </c>
    </row>
    <row r="2270" spans="18:19">
      <c r="R2270" s="199">
        <v>44904</v>
      </c>
      <c r="S2270" s="180">
        <v>4.2919999999999998</v>
      </c>
    </row>
    <row r="2271" spans="18:19">
      <c r="R2271" s="199">
        <v>44907</v>
      </c>
      <c r="S2271" s="180">
        <v>4.2919999999999998</v>
      </c>
    </row>
    <row r="2272" spans="18:19">
      <c r="R2272" s="199">
        <v>44908</v>
      </c>
      <c r="S2272" s="180">
        <v>4.2919999999999998</v>
      </c>
    </row>
    <row r="2273" spans="18:19">
      <c r="R2273" s="199">
        <v>44909</v>
      </c>
      <c r="S2273" s="180">
        <v>4.2919999999999998</v>
      </c>
    </row>
    <row r="2274" spans="18:19">
      <c r="R2274" s="199">
        <v>44910</v>
      </c>
      <c r="S2274" s="180">
        <v>4.2919999999999998</v>
      </c>
    </row>
    <row r="2275" spans="18:19">
      <c r="R2275" s="199">
        <v>44911</v>
      </c>
      <c r="S2275" s="180">
        <v>4.2919999999999998</v>
      </c>
    </row>
    <row r="2276" spans="18:19">
      <c r="R2276" s="199">
        <v>44914</v>
      </c>
      <c r="S2276" s="180">
        <v>4.2919999999999998</v>
      </c>
    </row>
    <row r="2277" spans="18:19">
      <c r="R2277" s="199">
        <v>44915</v>
      </c>
      <c r="S2277" s="180">
        <v>4.2919999999999998</v>
      </c>
    </row>
    <row r="2278" spans="18:19">
      <c r="R2278" s="199">
        <v>44916</v>
      </c>
      <c r="S2278" s="180">
        <v>4.2919999999999998</v>
      </c>
    </row>
    <row r="2279" spans="18:19">
      <c r="R2279" s="199">
        <v>44917</v>
      </c>
      <c r="S2279" s="180">
        <v>4.2919999999999998</v>
      </c>
    </row>
    <row r="2280" spans="18:19">
      <c r="R2280" s="199">
        <v>44918</v>
      </c>
      <c r="S2280" s="180">
        <v>4.2919999999999998</v>
      </c>
    </row>
    <row r="2281" spans="18:19">
      <c r="R2281" s="199">
        <v>44923</v>
      </c>
      <c r="S2281" s="180">
        <v>4.2919999999999998</v>
      </c>
    </row>
    <row r="2282" spans="18:19">
      <c r="R2282" s="199">
        <v>44924</v>
      </c>
      <c r="S2282" s="180">
        <v>4.2919999999999998</v>
      </c>
    </row>
    <row r="2283" spans="18:19">
      <c r="R2283" s="199">
        <v>44925</v>
      </c>
      <c r="S2283" s="180">
        <v>4.2919999999999998</v>
      </c>
    </row>
    <row r="2284" spans="18:19">
      <c r="R2284" s="199">
        <v>44929</v>
      </c>
      <c r="S2284" s="180">
        <v>4.2919999999999998</v>
      </c>
    </row>
    <row r="2285" spans="18:19">
      <c r="R2285" s="199">
        <v>44930</v>
      </c>
      <c r="S2285" s="180">
        <v>4.2919999999999998</v>
      </c>
    </row>
    <row r="2286" spans="18:19">
      <c r="R2286" s="199">
        <v>44931</v>
      </c>
      <c r="S2286" s="180">
        <v>4.2919999999999998</v>
      </c>
    </row>
    <row r="2287" spans="18:19">
      <c r="R2287" s="199">
        <v>44932</v>
      </c>
      <c r="S2287" s="180">
        <v>4.2919999999999998</v>
      </c>
    </row>
    <row r="2288" spans="18:19">
      <c r="R2288" s="199">
        <v>44935</v>
      </c>
      <c r="S2288" s="180">
        <v>4.2919999999999998</v>
      </c>
    </row>
    <row r="2289" spans="18:19">
      <c r="R2289" s="199">
        <v>44936</v>
      </c>
      <c r="S2289" s="180">
        <v>4.2919999999999998</v>
      </c>
    </row>
    <row r="2290" spans="18:19">
      <c r="R2290" s="199">
        <v>44937</v>
      </c>
      <c r="S2290" s="180">
        <v>4.2919999999999998</v>
      </c>
    </row>
    <row r="2291" spans="18:19">
      <c r="R2291" s="199">
        <v>44938</v>
      </c>
      <c r="S2291" s="180">
        <v>4.2919999999999998</v>
      </c>
    </row>
    <row r="2292" spans="18:19">
      <c r="R2292" s="199">
        <v>44939</v>
      </c>
      <c r="S2292" s="180">
        <v>4.2919999999999998</v>
      </c>
    </row>
    <row r="2293" spans="18:19">
      <c r="R2293" s="199">
        <v>44942</v>
      </c>
      <c r="S2293" s="180">
        <v>4.2919999999999998</v>
      </c>
    </row>
    <row r="2294" spans="18:19">
      <c r="R2294" s="199">
        <v>44943</v>
      </c>
      <c r="S2294" s="180">
        <v>4.2919999999999998</v>
      </c>
    </row>
    <row r="2295" spans="18:19">
      <c r="R2295" s="199">
        <v>44944</v>
      </c>
      <c r="S2295" s="180">
        <v>4.2919999999999998</v>
      </c>
    </row>
    <row r="2296" spans="18:19">
      <c r="R2296" s="199">
        <v>44945</v>
      </c>
      <c r="S2296" s="180">
        <v>4.2919999999999998</v>
      </c>
    </row>
    <row r="2297" spans="18:19">
      <c r="R2297" s="199">
        <v>44946</v>
      </c>
      <c r="S2297" s="180">
        <v>4.2919999999999998</v>
      </c>
    </row>
    <row r="2298" spans="18:19">
      <c r="R2298" s="199">
        <v>44949</v>
      </c>
      <c r="S2298" s="180">
        <v>4.2919999999999998</v>
      </c>
    </row>
    <row r="2299" spans="18:19">
      <c r="R2299" s="199">
        <v>44950</v>
      </c>
      <c r="S2299" s="180">
        <v>4.2919999999999998</v>
      </c>
    </row>
    <row r="2300" spans="18:19">
      <c r="R2300" s="199">
        <v>44951</v>
      </c>
      <c r="S2300" s="180">
        <v>4.2919999999999998</v>
      </c>
    </row>
    <row r="2301" spans="18:19">
      <c r="R2301" s="199">
        <v>44953</v>
      </c>
      <c r="S2301" s="180">
        <v>4.2919999999999998</v>
      </c>
    </row>
    <row r="2302" spans="18:19">
      <c r="R2302" s="199">
        <v>44956</v>
      </c>
      <c r="S2302" s="180">
        <v>4.2919999999999998</v>
      </c>
    </row>
    <row r="2303" spans="18:19">
      <c r="R2303" s="199">
        <v>44957</v>
      </c>
      <c r="S2303" s="180">
        <v>4.2919999999999998</v>
      </c>
    </row>
    <row r="2304" spans="18:19">
      <c r="R2304" s="199">
        <v>44958</v>
      </c>
      <c r="S2304" s="180">
        <v>4.2919999999999998</v>
      </c>
    </row>
    <row r="2305" spans="18:19">
      <c r="R2305" s="199">
        <v>44959</v>
      </c>
      <c r="S2305" s="180">
        <v>4.2919999999999998</v>
      </c>
    </row>
    <row r="2306" spans="18:19">
      <c r="R2306" s="199">
        <v>44960</v>
      </c>
      <c r="S2306" s="180">
        <v>4.2919999999999998</v>
      </c>
    </row>
    <row r="2307" spans="18:19">
      <c r="R2307" s="199">
        <v>44963</v>
      </c>
      <c r="S2307" s="180">
        <v>4.2919999999999998</v>
      </c>
    </row>
    <row r="2308" spans="18:19">
      <c r="R2308" s="199">
        <v>44964</v>
      </c>
      <c r="S2308" s="180">
        <v>4.2919999999999998</v>
      </c>
    </row>
    <row r="2309" spans="18:19">
      <c r="R2309" s="199">
        <v>44965</v>
      </c>
      <c r="S2309" s="180">
        <v>4.2919999999999998</v>
      </c>
    </row>
    <row r="2310" spans="18:19">
      <c r="R2310" s="199">
        <v>44966</v>
      </c>
      <c r="S2310" s="180">
        <v>4.2919999999999998</v>
      </c>
    </row>
    <row r="2311" spans="18:19">
      <c r="R2311" s="199">
        <v>44967</v>
      </c>
      <c r="S2311" s="180">
        <v>4.2919999999999998</v>
      </c>
    </row>
    <row r="2312" spans="18:19">
      <c r="R2312" s="199">
        <v>44970</v>
      </c>
      <c r="S2312" s="180">
        <v>4.2919999999999998</v>
      </c>
    </row>
    <row r="2313" spans="18:19">
      <c r="R2313" s="199">
        <v>44971</v>
      </c>
      <c r="S2313" s="180">
        <v>4.2919999999999998</v>
      </c>
    </row>
    <row r="2314" spans="18:19">
      <c r="R2314" s="199">
        <v>44972</v>
      </c>
      <c r="S2314" s="180">
        <v>4.2919999999999998</v>
      </c>
    </row>
    <row r="2315" spans="18:19">
      <c r="R2315" s="199">
        <v>44973</v>
      </c>
      <c r="S2315" s="180">
        <v>4.2919999999999998</v>
      </c>
    </row>
    <row r="2316" spans="18:19">
      <c r="R2316" s="199">
        <v>44974</v>
      </c>
      <c r="S2316" s="180">
        <v>4.2919999999999998</v>
      </c>
    </row>
    <row r="2317" spans="18:19">
      <c r="R2317" s="199">
        <v>44977</v>
      </c>
      <c r="S2317" s="180">
        <v>4.2919999999999998</v>
      </c>
    </row>
    <row r="2318" spans="18:19">
      <c r="R2318" s="199">
        <v>44978</v>
      </c>
      <c r="S2318" s="180">
        <v>4.2919999999999998</v>
      </c>
    </row>
    <row r="2319" spans="18:19">
      <c r="R2319" s="199">
        <v>44979</v>
      </c>
      <c r="S2319" s="180">
        <v>4.2919999999999998</v>
      </c>
    </row>
    <row r="2320" spans="18:19">
      <c r="R2320" s="199">
        <v>44980</v>
      </c>
      <c r="S2320" s="180">
        <v>4.2919999999999998</v>
      </c>
    </row>
    <row r="2321" spans="18:19">
      <c r="R2321" s="199">
        <v>44981</v>
      </c>
      <c r="S2321" s="180">
        <v>4.2919999999999998</v>
      </c>
    </row>
    <row r="2322" spans="18:19">
      <c r="R2322" s="199">
        <v>44984</v>
      </c>
      <c r="S2322" s="180">
        <v>4.2919999999999998</v>
      </c>
    </row>
    <row r="2323" spans="18:19">
      <c r="R2323" s="199">
        <v>44985</v>
      </c>
      <c r="S2323" s="180">
        <v>4.2919999999999998</v>
      </c>
    </row>
    <row r="2324" spans="18:19">
      <c r="R2324" s="199">
        <v>44986</v>
      </c>
      <c r="S2324" s="180">
        <v>4.2919999999999998</v>
      </c>
    </row>
    <row r="2325" spans="18:19">
      <c r="R2325" s="199">
        <v>44987</v>
      </c>
      <c r="S2325" s="180">
        <v>4.2919999999999998</v>
      </c>
    </row>
    <row r="2326" spans="18:19">
      <c r="R2326" s="199">
        <v>44988</v>
      </c>
      <c r="S2326" s="180">
        <v>4.2919999999999998</v>
      </c>
    </row>
    <row r="2327" spans="18:19">
      <c r="R2327" s="199">
        <v>44991</v>
      </c>
      <c r="S2327" s="180">
        <v>4.2919999999999998</v>
      </c>
    </row>
    <row r="2328" spans="18:19">
      <c r="R2328" s="199">
        <v>44992</v>
      </c>
      <c r="S2328" s="180">
        <v>4.2919999999999998</v>
      </c>
    </row>
    <row r="2329" spans="18:19">
      <c r="R2329" s="199">
        <v>44993</v>
      </c>
      <c r="S2329" s="180">
        <v>4.2919999999999998</v>
      </c>
    </row>
    <row r="2330" spans="18:19">
      <c r="R2330" s="199">
        <v>44994</v>
      </c>
      <c r="S2330" s="180">
        <v>4.2919999999999998</v>
      </c>
    </row>
    <row r="2331" spans="18:19">
      <c r="R2331" s="199">
        <v>44995</v>
      </c>
      <c r="S2331" s="180">
        <v>4.2919999999999998</v>
      </c>
    </row>
    <row r="2332" spans="18:19">
      <c r="R2332" s="199">
        <v>44998</v>
      </c>
      <c r="S2332" s="180">
        <v>4.2919999999999998</v>
      </c>
    </row>
    <row r="2333" spans="18:19">
      <c r="R2333" s="199">
        <v>44999</v>
      </c>
      <c r="S2333" s="180">
        <v>4.2919999999999998</v>
      </c>
    </row>
    <row r="2334" spans="18:19">
      <c r="R2334" s="199">
        <v>45000</v>
      </c>
      <c r="S2334" s="180">
        <v>4.2919999999999998</v>
      </c>
    </row>
    <row r="2335" spans="18:19">
      <c r="R2335" s="199">
        <v>45001</v>
      </c>
      <c r="S2335" s="180">
        <v>4.2919999999999998</v>
      </c>
    </row>
    <row r="2336" spans="18:19">
      <c r="R2336" s="199">
        <v>45002</v>
      </c>
      <c r="S2336" s="180">
        <v>4.2919999999999998</v>
      </c>
    </row>
    <row r="2337" spans="18:19">
      <c r="R2337" s="199">
        <v>45005</v>
      </c>
      <c r="S2337" s="180">
        <v>4.2919999999999998</v>
      </c>
    </row>
    <row r="2338" spans="18:19">
      <c r="R2338" s="199">
        <v>45006</v>
      </c>
      <c r="S2338" s="180">
        <v>4.2919999999999998</v>
      </c>
    </row>
    <row r="2339" spans="18:19">
      <c r="R2339" s="199">
        <v>45007</v>
      </c>
      <c r="S2339" s="180">
        <v>4.2919999999999998</v>
      </c>
    </row>
    <row r="2340" spans="18:19">
      <c r="R2340" s="199">
        <v>45008</v>
      </c>
      <c r="S2340" s="180">
        <v>4.2919999999999998</v>
      </c>
    </row>
    <row r="2341" spans="18:19">
      <c r="R2341" s="199">
        <v>45009</v>
      </c>
      <c r="S2341" s="180">
        <v>4.2919999999999998</v>
      </c>
    </row>
    <row r="2342" spans="18:19">
      <c r="R2342" s="199">
        <v>45012</v>
      </c>
      <c r="S2342" s="180">
        <v>4.2919999999999998</v>
      </c>
    </row>
    <row r="2343" spans="18:19">
      <c r="R2343" s="199">
        <v>45013</v>
      </c>
      <c r="S2343" s="180">
        <v>4.2919999999999998</v>
      </c>
    </row>
    <row r="2344" spans="18:19">
      <c r="R2344" s="199">
        <v>45014</v>
      </c>
      <c r="S2344" s="180">
        <v>4.2919999999999998</v>
      </c>
    </row>
    <row r="2345" spans="18:19">
      <c r="R2345" s="199">
        <v>45015</v>
      </c>
      <c r="S2345" s="180">
        <v>4.2919999999999998</v>
      </c>
    </row>
    <row r="2346" spans="18:19">
      <c r="R2346" s="199">
        <v>45016</v>
      </c>
      <c r="S2346" s="180">
        <v>4.2919999999999998</v>
      </c>
    </row>
    <row r="2347" spans="18:19">
      <c r="R2347" s="199">
        <v>45019</v>
      </c>
      <c r="S2347" s="180">
        <v>4.2919999999999998</v>
      </c>
    </row>
    <row r="2348" spans="18:19">
      <c r="R2348" s="199">
        <v>45020</v>
      </c>
      <c r="S2348" s="180">
        <v>4.2919999999999998</v>
      </c>
    </row>
    <row r="2349" spans="18:19">
      <c r="R2349" s="199">
        <v>45021</v>
      </c>
      <c r="S2349" s="180">
        <v>4.2919999999999998</v>
      </c>
    </row>
    <row r="2350" spans="18:19">
      <c r="R2350" s="199">
        <v>45022</v>
      </c>
      <c r="S2350" s="180">
        <v>4.2919999999999998</v>
      </c>
    </row>
    <row r="2351" spans="18:19">
      <c r="R2351" s="199">
        <v>45027</v>
      </c>
      <c r="S2351" s="180">
        <v>4.2919999999999998</v>
      </c>
    </row>
    <row r="2352" spans="18:19">
      <c r="R2352" s="199">
        <v>45028</v>
      </c>
      <c r="S2352" s="180">
        <v>4.2919999999999998</v>
      </c>
    </row>
    <row r="2353" spans="18:19">
      <c r="R2353" s="199">
        <v>45029</v>
      </c>
      <c r="S2353" s="180">
        <v>4.2919999999999998</v>
      </c>
    </row>
    <row r="2354" spans="18:19">
      <c r="R2354" s="199">
        <v>45030</v>
      </c>
      <c r="S2354" s="180">
        <v>4.2919999999999998</v>
      </c>
    </row>
    <row r="2355" spans="18:19">
      <c r="R2355" s="199">
        <v>45033</v>
      </c>
      <c r="S2355" s="180">
        <v>4.2919999999999998</v>
      </c>
    </row>
    <row r="2356" spans="18:19">
      <c r="R2356" s="199">
        <v>45034</v>
      </c>
      <c r="S2356" s="180">
        <v>4.2919999999999998</v>
      </c>
    </row>
    <row r="2357" spans="18:19">
      <c r="R2357" s="199">
        <v>45035</v>
      </c>
      <c r="S2357" s="180">
        <v>4.2919999999999998</v>
      </c>
    </row>
    <row r="2358" spans="18:19">
      <c r="R2358" s="199">
        <v>45036</v>
      </c>
      <c r="S2358" s="180">
        <v>4.2919999999999998</v>
      </c>
    </row>
    <row r="2359" spans="18:19">
      <c r="R2359" s="199">
        <v>45037</v>
      </c>
      <c r="S2359" s="180">
        <v>4.2919999999999998</v>
      </c>
    </row>
    <row r="2360" spans="18:19">
      <c r="R2360" s="199">
        <v>45040</v>
      </c>
      <c r="S2360" s="180">
        <v>4.2919999999999998</v>
      </c>
    </row>
    <row r="2361" spans="18:19">
      <c r="R2361" s="199">
        <v>45042</v>
      </c>
      <c r="S2361" s="180">
        <v>4.2919999999999998</v>
      </c>
    </row>
    <row r="2362" spans="18:19">
      <c r="R2362" s="199">
        <v>45043</v>
      </c>
      <c r="S2362" s="180">
        <v>4.2919999999999998</v>
      </c>
    </row>
    <row r="2363" spans="18:19">
      <c r="R2363" s="199">
        <v>45044</v>
      </c>
      <c r="S2363" s="180">
        <v>4.2919999999999998</v>
      </c>
    </row>
    <row r="2364" spans="18:19">
      <c r="R2364" s="199">
        <v>45047</v>
      </c>
      <c r="S2364" s="180">
        <v>4.2919999999999998</v>
      </c>
    </row>
    <row r="2365" spans="18:19">
      <c r="R2365" s="199">
        <v>45048</v>
      </c>
      <c r="S2365" s="180">
        <v>4.2919999999999998</v>
      </c>
    </row>
    <row r="2366" spans="18:19">
      <c r="R2366" s="199">
        <v>45049</v>
      </c>
      <c r="S2366" s="180">
        <v>4.2919999999999998</v>
      </c>
    </row>
    <row r="2367" spans="18:19">
      <c r="R2367" s="199">
        <v>45050</v>
      </c>
      <c r="S2367" s="180">
        <v>4.2919999999999998</v>
      </c>
    </row>
    <row r="2368" spans="18:19">
      <c r="R2368" s="199">
        <v>45051</v>
      </c>
      <c r="S2368" s="180">
        <v>4.2919999999999998</v>
      </c>
    </row>
    <row r="2369" spans="18:19">
      <c r="R2369" s="199">
        <v>45054</v>
      </c>
      <c r="S2369" s="180">
        <v>4.2919999999999998</v>
      </c>
    </row>
    <row r="2370" spans="18:19">
      <c r="R2370" s="199">
        <v>45055</v>
      </c>
      <c r="S2370" s="180">
        <v>4.2919999999999998</v>
      </c>
    </row>
    <row r="2371" spans="18:19">
      <c r="R2371" s="199">
        <v>45056</v>
      </c>
      <c r="S2371" s="180">
        <v>4.2919999999999998</v>
      </c>
    </row>
    <row r="2372" spans="18:19">
      <c r="R2372" s="199">
        <v>45057</v>
      </c>
      <c r="S2372" s="180">
        <v>4.2919999999999998</v>
      </c>
    </row>
    <row r="2373" spans="18:19">
      <c r="R2373" s="199">
        <v>45058</v>
      </c>
      <c r="S2373" s="180">
        <v>4.2919999999999998</v>
      </c>
    </row>
    <row r="2374" spans="18:19">
      <c r="R2374" s="199">
        <v>45061</v>
      </c>
      <c r="S2374" s="180">
        <v>4.2919999999999998</v>
      </c>
    </row>
    <row r="2375" spans="18:19">
      <c r="R2375" s="199">
        <v>45062</v>
      </c>
      <c r="S2375" s="180">
        <v>4.2919999999999998</v>
      </c>
    </row>
    <row r="2376" spans="18:19">
      <c r="R2376" s="199">
        <v>45063</v>
      </c>
      <c r="S2376" s="180">
        <v>4.2919999999999998</v>
      </c>
    </row>
    <row r="2377" spans="18:19">
      <c r="R2377" s="199">
        <v>45064</v>
      </c>
      <c r="S2377" s="180">
        <v>4.2919999999999998</v>
      </c>
    </row>
    <row r="2378" spans="18:19">
      <c r="R2378" s="199">
        <v>45065</v>
      </c>
      <c r="S2378" s="180">
        <v>4.2919999999999998</v>
      </c>
    </row>
    <row r="2379" spans="18:19">
      <c r="R2379" s="199">
        <v>45068</v>
      </c>
      <c r="S2379" s="180">
        <v>4.2919999999999998</v>
      </c>
    </row>
    <row r="2380" spans="18:19">
      <c r="R2380" s="199">
        <v>45069</v>
      </c>
      <c r="S2380" s="180">
        <v>4.2919999999999998</v>
      </c>
    </row>
    <row r="2381" spans="18:19">
      <c r="R2381" s="199">
        <v>45070</v>
      </c>
      <c r="S2381" s="180">
        <v>4.2919999999999998</v>
      </c>
    </row>
    <row r="2382" spans="18:19">
      <c r="R2382" s="199">
        <v>45071</v>
      </c>
      <c r="S2382" s="180">
        <v>4.2919999999999998</v>
      </c>
    </row>
    <row r="2383" spans="18:19">
      <c r="R2383" s="199">
        <v>45072</v>
      </c>
      <c r="S2383" s="180">
        <v>4.2919999999999998</v>
      </c>
    </row>
    <row r="2384" spans="18:19">
      <c r="R2384" s="199">
        <v>45075</v>
      </c>
      <c r="S2384" s="180">
        <v>4.2919999999999998</v>
      </c>
    </row>
    <row r="2385" spans="18:19">
      <c r="R2385" s="199">
        <v>45076</v>
      </c>
      <c r="S2385" s="180">
        <v>4.2919999999999998</v>
      </c>
    </row>
    <row r="2386" spans="18:19">
      <c r="R2386" s="199">
        <v>45077</v>
      </c>
      <c r="S2386" s="180">
        <v>4.2919999999999998</v>
      </c>
    </row>
    <row r="2387" spans="18:19">
      <c r="R2387" s="199">
        <v>45078</v>
      </c>
      <c r="S2387" s="180">
        <v>4.2919999999999998</v>
      </c>
    </row>
    <row r="2388" spans="18:19">
      <c r="R2388" s="199">
        <v>45079</v>
      </c>
      <c r="S2388" s="180">
        <v>4.2919999999999998</v>
      </c>
    </row>
    <row r="2389" spans="18:19">
      <c r="R2389" s="199">
        <v>45082</v>
      </c>
      <c r="S2389" s="180">
        <v>4.2919999999999998</v>
      </c>
    </row>
    <row r="2390" spans="18:19">
      <c r="R2390" s="199">
        <v>45083</v>
      </c>
      <c r="S2390" s="180">
        <v>4.2919999999999998</v>
      </c>
    </row>
    <row r="2391" spans="18:19">
      <c r="R2391" s="199">
        <v>45084</v>
      </c>
      <c r="S2391" s="180">
        <v>4.2919999999999998</v>
      </c>
    </row>
    <row r="2392" spans="18:19">
      <c r="R2392" s="199">
        <v>45085</v>
      </c>
      <c r="S2392" s="180">
        <v>4.2919999999999998</v>
      </c>
    </row>
    <row r="2393" spans="18:19">
      <c r="R2393" s="199">
        <v>45086</v>
      </c>
      <c r="S2393" s="180">
        <v>4.2919999999999998</v>
      </c>
    </row>
    <row r="2394" spans="18:19">
      <c r="R2394" s="199">
        <v>45090</v>
      </c>
      <c r="S2394" s="180">
        <v>4.2919999999999998</v>
      </c>
    </row>
    <row r="2395" spans="18:19">
      <c r="R2395" s="199">
        <v>45091</v>
      </c>
      <c r="S2395" s="180">
        <v>4.2919999999999998</v>
      </c>
    </row>
    <row r="2396" spans="18:19">
      <c r="R2396" s="199">
        <v>45092</v>
      </c>
      <c r="S2396" s="180">
        <v>4.2919999999999998</v>
      </c>
    </row>
    <row r="2397" spans="18:19">
      <c r="R2397" s="199">
        <v>45093</v>
      </c>
      <c r="S2397" s="180">
        <v>4.2919999999999998</v>
      </c>
    </row>
    <row r="2398" spans="18:19">
      <c r="R2398" s="199">
        <v>45096</v>
      </c>
      <c r="S2398" s="180">
        <v>4.2919999999999998</v>
      </c>
    </row>
    <row r="2399" spans="18:19">
      <c r="R2399" s="199">
        <v>45097</v>
      </c>
      <c r="S2399" s="180">
        <v>4.2919999999999998</v>
      </c>
    </row>
    <row r="2400" spans="18:19">
      <c r="R2400" s="199">
        <v>45098</v>
      </c>
      <c r="S2400" s="180">
        <v>4.2919999999999998</v>
      </c>
    </row>
    <row r="2401" spans="18:19">
      <c r="R2401" s="199">
        <v>45099</v>
      </c>
      <c r="S2401" s="180">
        <v>4.2919999999999998</v>
      </c>
    </row>
    <row r="2402" spans="18:19">
      <c r="R2402" s="199">
        <v>45100</v>
      </c>
      <c r="S2402" s="180">
        <v>4.2919999999999998</v>
      </c>
    </row>
    <row r="2403" spans="18:19">
      <c r="R2403" s="199">
        <v>45103</v>
      </c>
      <c r="S2403" s="180">
        <v>4.2919999999999998</v>
      </c>
    </row>
    <row r="2404" spans="18:19">
      <c r="R2404" s="199">
        <v>45104</v>
      </c>
      <c r="S2404" s="180">
        <v>4.2919999999999998</v>
      </c>
    </row>
    <row r="2405" spans="18:19">
      <c r="R2405" s="199">
        <v>45105</v>
      </c>
      <c r="S2405" s="180">
        <v>4.2919999999999998</v>
      </c>
    </row>
    <row r="2406" spans="18:19">
      <c r="R2406" s="199">
        <v>45106</v>
      </c>
      <c r="S2406" s="180">
        <v>4.2919999999999998</v>
      </c>
    </row>
    <row r="2407" spans="18:19">
      <c r="R2407" s="199">
        <v>45107</v>
      </c>
      <c r="S2407" s="180">
        <v>4.2919999999999998</v>
      </c>
    </row>
    <row r="2408" spans="18:19">
      <c r="R2408" s="199">
        <v>45110</v>
      </c>
      <c r="S2408" s="180">
        <v>4.2919999999999998</v>
      </c>
    </row>
    <row r="2409" spans="18:19">
      <c r="R2409" s="199">
        <v>45111</v>
      </c>
      <c r="S2409" s="180">
        <v>4.2919999999999998</v>
      </c>
    </row>
    <row r="2410" spans="18:19">
      <c r="R2410" s="199">
        <v>45112</v>
      </c>
      <c r="S2410" s="180">
        <v>4.2919999999999998</v>
      </c>
    </row>
    <row r="2411" spans="18:19">
      <c r="R2411" s="199">
        <v>45113</v>
      </c>
      <c r="S2411" s="180">
        <v>4.2919999999999998</v>
      </c>
    </row>
    <row r="2412" spans="18:19">
      <c r="R2412" s="199">
        <v>45114</v>
      </c>
      <c r="S2412" s="180">
        <v>4.2919999999999998</v>
      </c>
    </row>
    <row r="2413" spans="18:19">
      <c r="R2413" s="199">
        <v>45117</v>
      </c>
      <c r="S2413" s="180">
        <v>4.2919999999999998</v>
      </c>
    </row>
    <row r="2414" spans="18:19">
      <c r="R2414" s="199">
        <v>45118</v>
      </c>
      <c r="S2414" s="180">
        <v>4.2919999999999998</v>
      </c>
    </row>
    <row r="2415" spans="18:19">
      <c r="R2415" s="199">
        <v>45119</v>
      </c>
      <c r="S2415" s="180">
        <v>4.2919999999999998</v>
      </c>
    </row>
    <row r="2416" spans="18:19">
      <c r="R2416" s="199">
        <v>45120</v>
      </c>
      <c r="S2416" s="180">
        <v>4.2919999999999998</v>
      </c>
    </row>
    <row r="2417" spans="18:19">
      <c r="R2417" s="199">
        <v>45121</v>
      </c>
      <c r="S2417" s="180">
        <v>4.2919999999999998</v>
      </c>
    </row>
    <row r="2418" spans="18:19">
      <c r="R2418" s="199">
        <v>45124</v>
      </c>
      <c r="S2418" s="180">
        <v>4.2919999999999998</v>
      </c>
    </row>
    <row r="2419" spans="18:19">
      <c r="R2419" s="199">
        <v>45125</v>
      </c>
      <c r="S2419" s="180">
        <v>4.2919999999999998</v>
      </c>
    </row>
    <row r="2420" spans="18:19">
      <c r="R2420" s="199">
        <v>45126</v>
      </c>
      <c r="S2420" s="180">
        <v>4.2919999999999998</v>
      </c>
    </row>
    <row r="2421" spans="18:19">
      <c r="R2421" s="199">
        <v>45127</v>
      </c>
      <c r="S2421" s="180">
        <v>4.2919999999999998</v>
      </c>
    </row>
    <row r="2422" spans="18:19">
      <c r="R2422" s="199">
        <v>45128</v>
      </c>
      <c r="S2422" s="180">
        <v>4.2919999999999998</v>
      </c>
    </row>
    <row r="2423" spans="18:19">
      <c r="R2423" s="199">
        <v>45131</v>
      </c>
      <c r="S2423" s="180">
        <v>4.2919999999999998</v>
      </c>
    </row>
    <row r="2424" spans="18:19">
      <c r="R2424" s="199">
        <v>45132</v>
      </c>
      <c r="S2424" s="180">
        <v>4.2919999999999998</v>
      </c>
    </row>
    <row r="2425" spans="18:19">
      <c r="R2425" s="199">
        <v>45133</v>
      </c>
      <c r="S2425" s="180">
        <v>4.2919999999999998</v>
      </c>
    </row>
    <row r="2426" spans="18:19">
      <c r="R2426" s="199">
        <v>45134</v>
      </c>
      <c r="S2426" s="180">
        <v>4.2919999999999998</v>
      </c>
    </row>
    <row r="2427" spans="18:19">
      <c r="R2427" s="199">
        <v>45135</v>
      </c>
      <c r="S2427" s="180">
        <v>4.2919999999999998</v>
      </c>
    </row>
    <row r="2428" spans="18:19">
      <c r="R2428" s="199">
        <v>45138</v>
      </c>
      <c r="S2428" s="180">
        <v>4.2919999999999998</v>
      </c>
    </row>
    <row r="2429" spans="18:19">
      <c r="R2429" s="199">
        <v>45139</v>
      </c>
      <c r="S2429" s="180">
        <v>4.2919999999999998</v>
      </c>
    </row>
    <row r="2430" spans="18:19">
      <c r="R2430" s="199">
        <v>45140</v>
      </c>
      <c r="S2430" s="180">
        <v>4.2919999999999998</v>
      </c>
    </row>
    <row r="2431" spans="18:19">
      <c r="R2431" s="199">
        <v>45141</v>
      </c>
      <c r="S2431" s="180">
        <v>4.2919999999999998</v>
      </c>
    </row>
    <row r="2432" spans="18:19">
      <c r="R2432" s="199">
        <v>45142</v>
      </c>
      <c r="S2432" s="180">
        <v>4.2919999999999998</v>
      </c>
    </row>
    <row r="2433" spans="18:19">
      <c r="R2433" s="199">
        <v>45145</v>
      </c>
      <c r="S2433" s="180">
        <v>4.2919999999999998</v>
      </c>
    </row>
    <row r="2434" spans="18:19">
      <c r="R2434" s="199">
        <v>45146</v>
      </c>
      <c r="S2434" s="180">
        <v>4.2919999999999998</v>
      </c>
    </row>
    <row r="2435" spans="18:19">
      <c r="R2435" s="199">
        <v>45147</v>
      </c>
      <c r="S2435" s="180">
        <v>4.2919999999999998</v>
      </c>
    </row>
    <row r="2436" spans="18:19">
      <c r="R2436" s="199">
        <v>45148</v>
      </c>
      <c r="S2436" s="180">
        <v>4.2919999999999998</v>
      </c>
    </row>
    <row r="2437" spans="18:19">
      <c r="R2437" s="199">
        <v>45149</v>
      </c>
      <c r="S2437" s="180">
        <v>4.2919999999999998</v>
      </c>
    </row>
    <row r="2438" spans="18:19">
      <c r="R2438" s="199">
        <v>45152</v>
      </c>
      <c r="S2438" s="180">
        <v>4.2919999999999998</v>
      </c>
    </row>
    <row r="2439" spans="18:19">
      <c r="R2439" s="199">
        <v>45153</v>
      </c>
      <c r="S2439" s="180">
        <v>4.2919999999999998</v>
      </c>
    </row>
    <row r="2440" spans="18:19">
      <c r="R2440" s="199">
        <v>45154</v>
      </c>
      <c r="S2440" s="180">
        <v>4.2919999999999998</v>
      </c>
    </row>
    <row r="2441" spans="18:19">
      <c r="R2441" s="199">
        <v>45155</v>
      </c>
      <c r="S2441" s="180">
        <v>4.2919999999999998</v>
      </c>
    </row>
    <row r="2442" spans="18:19">
      <c r="R2442" s="199">
        <v>45156</v>
      </c>
      <c r="S2442" s="180">
        <v>4.2919999999999998</v>
      </c>
    </row>
    <row r="2443" spans="18:19">
      <c r="R2443" s="199">
        <v>45159</v>
      </c>
      <c r="S2443" s="180">
        <v>4.2919999999999998</v>
      </c>
    </row>
    <row r="2444" spans="18:19">
      <c r="R2444" s="199">
        <v>45160</v>
      </c>
      <c r="S2444" s="180">
        <v>4.2919999999999998</v>
      </c>
    </row>
    <row r="2445" spans="18:19">
      <c r="R2445" s="199">
        <v>45161</v>
      </c>
      <c r="S2445" s="180">
        <v>4.2919999999999998</v>
      </c>
    </row>
    <row r="2446" spans="18:19">
      <c r="R2446" s="199">
        <v>45162</v>
      </c>
      <c r="S2446" s="180">
        <v>4.2919999999999998</v>
      </c>
    </row>
    <row r="2447" spans="18:19">
      <c r="R2447" s="199">
        <v>45163</v>
      </c>
      <c r="S2447" s="180">
        <v>4.2919999999999998</v>
      </c>
    </row>
    <row r="2448" spans="18:19">
      <c r="R2448" s="199">
        <v>45166</v>
      </c>
      <c r="S2448" s="180">
        <v>4.2919999999999998</v>
      </c>
    </row>
    <row r="2449" spans="18:19">
      <c r="R2449" s="199">
        <v>45167</v>
      </c>
      <c r="S2449" s="180">
        <v>4.2919999999999998</v>
      </c>
    </row>
    <row r="2450" spans="18:19">
      <c r="R2450" s="199">
        <v>45168</v>
      </c>
      <c r="S2450" s="180">
        <v>4.2919999999999998</v>
      </c>
    </row>
    <row r="2451" spans="18:19">
      <c r="R2451" s="199">
        <v>45169</v>
      </c>
      <c r="S2451" s="180">
        <v>4.2919999999999998</v>
      </c>
    </row>
    <row r="2452" spans="18:19">
      <c r="R2452" s="199">
        <v>45170</v>
      </c>
      <c r="S2452" s="180">
        <v>4.2919999999999998</v>
      </c>
    </row>
    <row r="2453" spans="18:19">
      <c r="R2453" s="199">
        <v>45173</v>
      </c>
      <c r="S2453" s="180">
        <v>4.2919999999999998</v>
      </c>
    </row>
    <row r="2454" spans="18:19">
      <c r="R2454" s="199">
        <v>45174</v>
      </c>
      <c r="S2454" s="180">
        <v>4.2919999999999998</v>
      </c>
    </row>
    <row r="2455" spans="18:19">
      <c r="R2455" s="199">
        <v>45175</v>
      </c>
      <c r="S2455" s="180">
        <v>4.2919999999999998</v>
      </c>
    </row>
    <row r="2456" spans="18:19">
      <c r="R2456" s="199">
        <v>45176</v>
      </c>
      <c r="S2456" s="180">
        <v>4.2919999999999998</v>
      </c>
    </row>
    <row r="2457" spans="18:19">
      <c r="R2457" s="199">
        <v>45177</v>
      </c>
      <c r="S2457" s="180">
        <v>4.2919999999999998</v>
      </c>
    </row>
    <row r="2458" spans="18:19">
      <c r="R2458" s="199">
        <v>45180</v>
      </c>
      <c r="S2458" s="180">
        <v>4.2919999999999998</v>
      </c>
    </row>
    <row r="2459" spans="18:19">
      <c r="R2459" s="199">
        <v>45181</v>
      </c>
      <c r="S2459" s="180">
        <v>4.2919999999999998</v>
      </c>
    </row>
    <row r="2460" spans="18:19">
      <c r="R2460" s="199">
        <v>45182</v>
      </c>
      <c r="S2460" s="180">
        <v>4.2919999999999998</v>
      </c>
    </row>
    <row r="2461" spans="18:19">
      <c r="R2461" s="199">
        <v>45183</v>
      </c>
      <c r="S2461" s="180">
        <v>4.2919999999999998</v>
      </c>
    </row>
    <row r="2462" spans="18:19">
      <c r="R2462" s="199">
        <v>45184</v>
      </c>
      <c r="S2462" s="180">
        <v>4.2919999999999998</v>
      </c>
    </row>
    <row r="2463" spans="18:19">
      <c r="R2463" s="199">
        <v>45187</v>
      </c>
      <c r="S2463" s="180">
        <v>4.2919999999999998</v>
      </c>
    </row>
    <row r="2464" spans="18:19">
      <c r="R2464" s="199">
        <v>45188</v>
      </c>
      <c r="S2464" s="180">
        <v>4.2919999999999998</v>
      </c>
    </row>
    <row r="2465" spans="18:19">
      <c r="R2465" s="199">
        <v>45189</v>
      </c>
      <c r="S2465" s="180">
        <v>4.2919999999999998</v>
      </c>
    </row>
    <row r="2466" spans="18:19">
      <c r="R2466" s="199">
        <v>45190</v>
      </c>
      <c r="S2466" s="180">
        <v>4.2919999999999998</v>
      </c>
    </row>
    <row r="2467" spans="18:19">
      <c r="R2467" s="199">
        <v>45191</v>
      </c>
      <c r="S2467" s="180">
        <v>4.2919999999999998</v>
      </c>
    </row>
    <row r="2468" spans="18:19">
      <c r="R2468" s="199">
        <v>45194</v>
      </c>
      <c r="S2468" s="180">
        <v>4.2919999999999998</v>
      </c>
    </row>
    <row r="2469" spans="18:19">
      <c r="R2469" s="199">
        <v>45195</v>
      </c>
      <c r="S2469" s="180">
        <v>4.2919999999999998</v>
      </c>
    </row>
    <row r="2470" spans="18:19">
      <c r="R2470" s="199">
        <v>45196</v>
      </c>
      <c r="S2470" s="180">
        <v>4.2919999999999998</v>
      </c>
    </row>
    <row r="2471" spans="18:19">
      <c r="R2471" s="199">
        <v>45197</v>
      </c>
      <c r="S2471" s="180">
        <v>4.2919999999999998</v>
      </c>
    </row>
    <row r="2472" spans="18:19">
      <c r="R2472" s="199">
        <v>45198</v>
      </c>
      <c r="S2472" s="180">
        <v>4.2919999999999998</v>
      </c>
    </row>
    <row r="2473" spans="18:19">
      <c r="R2473" s="199">
        <v>45201</v>
      </c>
      <c r="S2473" s="180">
        <v>4.2919999999999998</v>
      </c>
    </row>
    <row r="2474" spans="18:19">
      <c r="R2474" s="199">
        <v>45202</v>
      </c>
      <c r="S2474" s="180">
        <v>4.2919999999999998</v>
      </c>
    </row>
    <row r="2475" spans="18:19">
      <c r="R2475" s="199">
        <v>45203</v>
      </c>
      <c r="S2475" s="180">
        <v>4.2919999999999998</v>
      </c>
    </row>
    <row r="2476" spans="18:19">
      <c r="R2476" s="199">
        <v>45204</v>
      </c>
      <c r="S2476" s="180">
        <v>4.2919999999999998</v>
      </c>
    </row>
    <row r="2477" spans="18:19">
      <c r="R2477" s="199">
        <v>45205</v>
      </c>
      <c r="S2477" s="180">
        <v>4.2919999999999998</v>
      </c>
    </row>
    <row r="2478" spans="18:19">
      <c r="R2478" s="199">
        <v>45208</v>
      </c>
      <c r="S2478" s="180">
        <v>4.2919999999999998</v>
      </c>
    </row>
    <row r="2479" spans="18:19">
      <c r="R2479" s="199">
        <v>45209</v>
      </c>
      <c r="S2479" s="180">
        <v>4.2919999999999998</v>
      </c>
    </row>
    <row r="2480" spans="18:19">
      <c r="R2480" s="199">
        <v>45210</v>
      </c>
      <c r="S2480" s="180">
        <v>4.2919999999999998</v>
      </c>
    </row>
    <row r="2481" spans="18:19">
      <c r="R2481" s="199">
        <v>45211</v>
      </c>
      <c r="S2481" s="180">
        <v>4.2919999999999998</v>
      </c>
    </row>
    <row r="2482" spans="18:19">
      <c r="R2482" s="199">
        <v>45212</v>
      </c>
      <c r="S2482" s="180">
        <v>4.2919999999999998</v>
      </c>
    </row>
    <row r="2483" spans="18:19">
      <c r="R2483" s="199">
        <v>45215</v>
      </c>
      <c r="S2483" s="180">
        <v>4.2919999999999998</v>
      </c>
    </row>
    <row r="2484" spans="18:19">
      <c r="R2484" s="199">
        <v>45216</v>
      </c>
      <c r="S2484" s="180">
        <v>4.2919999999999998</v>
      </c>
    </row>
    <row r="2485" spans="18:19">
      <c r="R2485" s="199">
        <v>45217</v>
      </c>
      <c r="S2485" s="180">
        <v>4.2919999999999998</v>
      </c>
    </row>
    <row r="2486" spans="18:19">
      <c r="R2486" s="199">
        <v>45218</v>
      </c>
      <c r="S2486" s="180">
        <v>4.2919999999999998</v>
      </c>
    </row>
    <row r="2487" spans="18:19">
      <c r="R2487" s="199">
        <v>45219</v>
      </c>
      <c r="S2487" s="180">
        <v>4.2919999999999998</v>
      </c>
    </row>
    <row r="2488" spans="18:19">
      <c r="R2488" s="199">
        <v>45222</v>
      </c>
      <c r="S2488" s="180">
        <v>4.2919999999999998</v>
      </c>
    </row>
    <row r="2489" spans="18:19">
      <c r="R2489" s="199">
        <v>45223</v>
      </c>
      <c r="S2489" s="180">
        <v>4.2919999999999998</v>
      </c>
    </row>
    <row r="2490" spans="18:19">
      <c r="R2490" s="199">
        <v>45224</v>
      </c>
      <c r="S2490" s="180">
        <v>4.2919999999999998</v>
      </c>
    </row>
    <row r="2491" spans="18:19">
      <c r="R2491" s="199">
        <v>45225</v>
      </c>
      <c r="S2491" s="180">
        <v>4.2919999999999998</v>
      </c>
    </row>
    <row r="2492" spans="18:19">
      <c r="R2492" s="199">
        <v>45226</v>
      </c>
      <c r="S2492" s="180">
        <v>4.2919999999999998</v>
      </c>
    </row>
    <row r="2493" spans="18:19">
      <c r="R2493" s="199">
        <v>45229</v>
      </c>
      <c r="S2493" s="180">
        <v>4.2919999999999998</v>
      </c>
    </row>
    <row r="2494" spans="18:19">
      <c r="R2494" s="199">
        <v>45230</v>
      </c>
      <c r="S2494" s="180">
        <v>4.2919999999999998</v>
      </c>
    </row>
    <row r="2495" spans="18:19">
      <c r="R2495" s="199">
        <v>45231</v>
      </c>
      <c r="S2495" s="180">
        <v>4.2919999999999998</v>
      </c>
    </row>
    <row r="2496" spans="18:19">
      <c r="R2496" s="199">
        <v>45232</v>
      </c>
      <c r="S2496" s="180">
        <v>4.2919999999999998</v>
      </c>
    </row>
    <row r="2497" spans="18:19">
      <c r="R2497" s="199">
        <v>45233</v>
      </c>
      <c r="S2497" s="180">
        <v>4.2919999999999998</v>
      </c>
    </row>
    <row r="2498" spans="18:19">
      <c r="R2498" s="199">
        <v>45236</v>
      </c>
      <c r="S2498" s="180">
        <v>4.2919999999999998</v>
      </c>
    </row>
    <row r="2499" spans="18:19">
      <c r="R2499" s="199">
        <v>45237</v>
      </c>
      <c r="S2499" s="180">
        <v>4.2919999999999998</v>
      </c>
    </row>
    <row r="2500" spans="18:19">
      <c r="R2500" s="199">
        <v>45238</v>
      </c>
      <c r="S2500" s="180">
        <v>4.2919999999999998</v>
      </c>
    </row>
    <row r="2501" spans="18:19">
      <c r="R2501" s="199">
        <v>45239</v>
      </c>
      <c r="S2501" s="180">
        <v>4.2919999999999998</v>
      </c>
    </row>
    <row r="2502" spans="18:19">
      <c r="R2502" s="199">
        <v>45240</v>
      </c>
      <c r="S2502" s="180">
        <v>4.2919999999999998</v>
      </c>
    </row>
    <row r="2503" spans="18:19">
      <c r="R2503" s="199">
        <v>45243</v>
      </c>
      <c r="S2503" s="180">
        <v>4.2919999999999998</v>
      </c>
    </row>
    <row r="2504" spans="18:19">
      <c r="R2504" s="199">
        <v>45244</v>
      </c>
      <c r="S2504" s="180">
        <v>4.2919999999999998</v>
      </c>
    </row>
    <row r="2505" spans="18:19">
      <c r="R2505" s="199">
        <v>45245</v>
      </c>
      <c r="S2505" s="180">
        <v>4.2919999999999998</v>
      </c>
    </row>
    <row r="2506" spans="18:19">
      <c r="R2506" s="199">
        <v>45246</v>
      </c>
      <c r="S2506" s="180">
        <v>4.2919999999999998</v>
      </c>
    </row>
    <row r="2507" spans="18:19">
      <c r="R2507" s="199">
        <v>45247</v>
      </c>
      <c r="S2507" s="180">
        <v>4.2919999999999998</v>
      </c>
    </row>
    <row r="2508" spans="18:19">
      <c r="R2508" s="199">
        <v>45250</v>
      </c>
      <c r="S2508" s="180">
        <v>4.2919999999999998</v>
      </c>
    </row>
    <row r="2509" spans="18:19">
      <c r="R2509" s="199">
        <v>45251</v>
      </c>
      <c r="S2509" s="180">
        <v>4.2919999999999998</v>
      </c>
    </row>
    <row r="2510" spans="18:19">
      <c r="R2510" s="199">
        <v>45252</v>
      </c>
      <c r="S2510" s="180">
        <v>4.2919999999999998</v>
      </c>
    </row>
    <row r="2511" spans="18:19">
      <c r="R2511" s="199">
        <v>45253</v>
      </c>
      <c r="S2511" s="180">
        <v>4.2919999999999998</v>
      </c>
    </row>
    <row r="2512" spans="18:19">
      <c r="R2512" s="199">
        <v>45254</v>
      </c>
      <c r="S2512" s="180">
        <v>4.2919999999999998</v>
      </c>
    </row>
    <row r="2513" spans="18:19">
      <c r="R2513" s="199">
        <v>45257</v>
      </c>
      <c r="S2513" s="180">
        <v>4.2919999999999998</v>
      </c>
    </row>
    <row r="2514" spans="18:19">
      <c r="R2514" s="199">
        <v>45258</v>
      </c>
      <c r="S2514" s="180">
        <v>4.2919999999999998</v>
      </c>
    </row>
    <row r="2515" spans="18:19">
      <c r="R2515" s="199">
        <v>45259</v>
      </c>
      <c r="S2515" s="180">
        <v>4.2919999999999998</v>
      </c>
    </row>
    <row r="2516" spans="18:19">
      <c r="R2516" s="199">
        <v>45260</v>
      </c>
      <c r="S2516" s="180">
        <v>4.2919999999999998</v>
      </c>
    </row>
    <row r="2517" spans="18:19">
      <c r="R2517" s="199">
        <v>45261</v>
      </c>
      <c r="S2517" s="180">
        <v>4.2919999999999998</v>
      </c>
    </row>
    <row r="2518" spans="18:19">
      <c r="R2518" s="199">
        <v>45264</v>
      </c>
      <c r="S2518" s="180">
        <v>4.2919999999999998</v>
      </c>
    </row>
    <row r="2519" spans="18:19">
      <c r="R2519" s="199">
        <v>45265</v>
      </c>
      <c r="S2519" s="180">
        <v>4.2919999999999998</v>
      </c>
    </row>
    <row r="2520" spans="18:19">
      <c r="R2520" s="199">
        <v>45266</v>
      </c>
      <c r="S2520" s="180">
        <v>4.2919999999999998</v>
      </c>
    </row>
    <row r="2521" spans="18:19">
      <c r="R2521" s="199">
        <v>45267</v>
      </c>
      <c r="S2521" s="180">
        <v>4.2919999999999998</v>
      </c>
    </row>
    <row r="2522" spans="18:19">
      <c r="R2522" s="199">
        <v>45268</v>
      </c>
      <c r="S2522" s="180">
        <v>4.2919999999999998</v>
      </c>
    </row>
    <row r="2523" spans="18:19">
      <c r="R2523" s="199">
        <v>45271</v>
      </c>
      <c r="S2523" s="180">
        <v>4.2919999999999998</v>
      </c>
    </row>
    <row r="2524" spans="18:19">
      <c r="R2524" s="199">
        <v>45272</v>
      </c>
      <c r="S2524" s="180">
        <v>4.2919999999999998</v>
      </c>
    </row>
    <row r="2525" spans="18:19">
      <c r="R2525" s="199">
        <v>45273</v>
      </c>
      <c r="S2525" s="180">
        <v>4.2919999999999998</v>
      </c>
    </row>
    <row r="2526" spans="18:19">
      <c r="R2526" s="199">
        <v>45274</v>
      </c>
      <c r="S2526" s="180">
        <v>4.2919999999999998</v>
      </c>
    </row>
    <row r="2527" spans="18:19">
      <c r="R2527" s="199">
        <v>45275</v>
      </c>
      <c r="S2527" s="180">
        <v>4.2919999999999998</v>
      </c>
    </row>
    <row r="2528" spans="18:19">
      <c r="R2528" s="199">
        <v>45278</v>
      </c>
      <c r="S2528" s="180">
        <v>4.2919999999999998</v>
      </c>
    </row>
    <row r="2529" spans="18:19">
      <c r="R2529" s="199">
        <v>45279</v>
      </c>
      <c r="S2529" s="180">
        <v>4.2919999999999998</v>
      </c>
    </row>
    <row r="2530" spans="18:19">
      <c r="R2530" s="199">
        <v>45280</v>
      </c>
      <c r="S2530" s="180">
        <v>4.2919999999999998</v>
      </c>
    </row>
    <row r="2531" spans="18:19">
      <c r="R2531" s="199">
        <v>45281</v>
      </c>
      <c r="S2531" s="180">
        <v>4.2919999999999998</v>
      </c>
    </row>
    <row r="2532" spans="18:19">
      <c r="R2532" s="199">
        <v>45282</v>
      </c>
      <c r="S2532" s="180">
        <v>4.2919999999999998</v>
      </c>
    </row>
    <row r="2533" spans="18:19">
      <c r="R2533" s="199">
        <v>45287</v>
      </c>
      <c r="S2533" s="180">
        <v>4.2919999999999998</v>
      </c>
    </row>
    <row r="2534" spans="18:19">
      <c r="R2534" s="199">
        <v>45288</v>
      </c>
      <c r="S2534" s="180">
        <v>4.2919999999999998</v>
      </c>
    </row>
    <row r="2535" spans="18:19">
      <c r="R2535" s="199">
        <v>45289</v>
      </c>
      <c r="S2535" s="180">
        <v>4.2919999999999998</v>
      </c>
    </row>
    <row r="2536" spans="18:19">
      <c r="R2536" s="199">
        <v>45293</v>
      </c>
      <c r="S2536" s="180">
        <v>4.2919999999999998</v>
      </c>
    </row>
    <row r="2537" spans="18:19">
      <c r="R2537" s="199">
        <v>45294</v>
      </c>
      <c r="S2537" s="180">
        <v>4.2919999999999998</v>
      </c>
    </row>
    <row r="2538" spans="18:19">
      <c r="R2538" s="199">
        <v>45295</v>
      </c>
      <c r="S2538" s="180">
        <v>4.2919999999999998</v>
      </c>
    </row>
    <row r="2539" spans="18:19">
      <c r="R2539" s="199">
        <v>45296</v>
      </c>
      <c r="S2539" s="180">
        <v>4.2919999999999998</v>
      </c>
    </row>
    <row r="2540" spans="18:19">
      <c r="R2540" s="199">
        <v>45299</v>
      </c>
      <c r="S2540" s="180">
        <v>4.2919999999999998</v>
      </c>
    </row>
    <row r="2541" spans="18:19">
      <c r="R2541" s="199">
        <v>45300</v>
      </c>
      <c r="S2541" s="180">
        <v>4.2919999999999998</v>
      </c>
    </row>
    <row r="2542" spans="18:19">
      <c r="R2542" s="199">
        <v>45301</v>
      </c>
      <c r="S2542" s="180">
        <v>4.2919999999999998</v>
      </c>
    </row>
    <row r="2543" spans="18:19">
      <c r="R2543" s="199">
        <v>45302</v>
      </c>
      <c r="S2543" s="180">
        <v>4.2919999999999998</v>
      </c>
    </row>
    <row r="2544" spans="18:19">
      <c r="R2544" s="199">
        <v>45303</v>
      </c>
      <c r="S2544" s="180">
        <v>4.2919999999999998</v>
      </c>
    </row>
    <row r="2545" spans="18:19">
      <c r="R2545" s="199">
        <v>45306</v>
      </c>
      <c r="S2545" s="180">
        <v>4.2919999999999998</v>
      </c>
    </row>
    <row r="2546" spans="18:19">
      <c r="R2546" s="199">
        <v>45307</v>
      </c>
      <c r="S2546" s="180">
        <v>4.2919999999999998</v>
      </c>
    </row>
    <row r="2547" spans="18:19">
      <c r="R2547" s="199">
        <v>45308</v>
      </c>
      <c r="S2547" s="180">
        <v>4.2919999999999998</v>
      </c>
    </row>
    <row r="2548" spans="18:19">
      <c r="R2548" s="199">
        <v>45309</v>
      </c>
      <c r="S2548" s="180">
        <v>4.2919999999999998</v>
      </c>
    </row>
    <row r="2549" spans="18:19">
      <c r="R2549" s="199">
        <v>45310</v>
      </c>
      <c r="S2549" s="180">
        <v>4.2919999999999998</v>
      </c>
    </row>
    <row r="2550" spans="18:19">
      <c r="R2550" s="199">
        <v>45313</v>
      </c>
      <c r="S2550" s="180">
        <v>4.2919999999999998</v>
      </c>
    </row>
    <row r="2551" spans="18:19">
      <c r="R2551" s="199">
        <v>45314</v>
      </c>
      <c r="S2551" s="180">
        <v>4.2919999999999998</v>
      </c>
    </row>
    <row r="2552" spans="18:19">
      <c r="R2552" s="199">
        <v>45315</v>
      </c>
      <c r="S2552" s="180">
        <v>4.2919999999999998</v>
      </c>
    </row>
    <row r="2553" spans="18:19">
      <c r="R2553" s="199">
        <v>45316</v>
      </c>
      <c r="S2553" s="180">
        <v>4.2919999999999998</v>
      </c>
    </row>
    <row r="2554" spans="18:19">
      <c r="R2554" s="199">
        <v>45320</v>
      </c>
      <c r="S2554" s="180">
        <v>4.2919999999999998</v>
      </c>
    </row>
    <row r="2555" spans="18:19">
      <c r="R2555" s="199">
        <v>45321</v>
      </c>
      <c r="S2555" s="180">
        <v>4.2919999999999998</v>
      </c>
    </row>
    <row r="2556" spans="18:19">
      <c r="R2556" s="199">
        <v>45322</v>
      </c>
      <c r="S2556" s="180">
        <v>4.2919999999999998</v>
      </c>
    </row>
    <row r="2557" spans="18:19">
      <c r="R2557" s="199">
        <v>45323</v>
      </c>
      <c r="S2557" s="180">
        <v>4.2919999999999998</v>
      </c>
    </row>
    <row r="2558" spans="18:19">
      <c r="R2558" s="199">
        <v>45324</v>
      </c>
      <c r="S2558" s="180">
        <v>4.2919999999999998</v>
      </c>
    </row>
    <row r="2559" spans="18:19">
      <c r="R2559" s="199">
        <v>45327</v>
      </c>
      <c r="S2559" s="180">
        <v>4.2919999999999998</v>
      </c>
    </row>
    <row r="2560" spans="18:19">
      <c r="R2560" s="199">
        <v>45328</v>
      </c>
      <c r="S2560" s="180">
        <v>4.2919999999999998</v>
      </c>
    </row>
    <row r="2561" spans="18:19">
      <c r="R2561" s="199">
        <v>45329</v>
      </c>
      <c r="S2561" s="180">
        <v>4.2919999999999998</v>
      </c>
    </row>
    <row r="2562" spans="18:19">
      <c r="R2562" s="199">
        <v>45330</v>
      </c>
      <c r="S2562" s="180">
        <v>4.2919999999999998</v>
      </c>
    </row>
    <row r="2563" spans="18:19">
      <c r="R2563" s="199">
        <v>45331</v>
      </c>
      <c r="S2563" s="180">
        <v>4.2919999999999998</v>
      </c>
    </row>
    <row r="2564" spans="18:19">
      <c r="R2564" s="199">
        <v>45334</v>
      </c>
      <c r="S2564" s="180">
        <v>4.2919999999999998</v>
      </c>
    </row>
    <row r="2565" spans="18:19">
      <c r="R2565" s="199">
        <v>45335</v>
      </c>
      <c r="S2565" s="180">
        <v>4.2919999999999998</v>
      </c>
    </row>
    <row r="2566" spans="18:19">
      <c r="R2566" s="199">
        <v>45336</v>
      </c>
      <c r="S2566" s="180">
        <v>4.2919999999999998</v>
      </c>
    </row>
    <row r="2567" spans="18:19">
      <c r="R2567" s="199">
        <v>45337</v>
      </c>
      <c r="S2567" s="180">
        <v>4.2919999999999998</v>
      </c>
    </row>
    <row r="2568" spans="18:19">
      <c r="R2568" s="199">
        <v>45338</v>
      </c>
      <c r="S2568" s="180">
        <v>4.2919999999999998</v>
      </c>
    </row>
    <row r="2569" spans="18:19">
      <c r="R2569" s="199">
        <v>45341</v>
      </c>
      <c r="S2569" s="180">
        <v>4.2919999999999998</v>
      </c>
    </row>
    <row r="2570" spans="18:19">
      <c r="R2570" s="199">
        <v>45342</v>
      </c>
      <c r="S2570" s="180">
        <v>4.2919999999999998</v>
      </c>
    </row>
    <row r="2571" spans="18:19">
      <c r="R2571" s="199">
        <v>45343</v>
      </c>
      <c r="S2571" s="180">
        <v>4.2919999999999998</v>
      </c>
    </row>
    <row r="2572" spans="18:19">
      <c r="R2572" s="199">
        <v>45344</v>
      </c>
      <c r="S2572" s="180">
        <v>4.2919999999999998</v>
      </c>
    </row>
    <row r="2573" spans="18:19">
      <c r="R2573" s="199">
        <v>45345</v>
      </c>
      <c r="S2573" s="180">
        <v>4.2919999999999998</v>
      </c>
    </row>
    <row r="2574" spans="18:19">
      <c r="R2574" s="199">
        <v>45348</v>
      </c>
      <c r="S2574" s="180">
        <v>4.2919999999999998</v>
      </c>
    </row>
    <row r="2575" spans="18:19">
      <c r="R2575" s="199">
        <v>45349</v>
      </c>
      <c r="S2575" s="180">
        <v>4.2919999999999998</v>
      </c>
    </row>
    <row r="2576" spans="18:19">
      <c r="R2576" s="199">
        <v>45350</v>
      </c>
      <c r="S2576" s="180">
        <v>4.2919999999999998</v>
      </c>
    </row>
    <row r="2577" spans="18:19">
      <c r="R2577" s="199">
        <v>45351</v>
      </c>
      <c r="S2577" s="180">
        <v>4.2919999999999998</v>
      </c>
    </row>
    <row r="2578" spans="18:19">
      <c r="R2578" s="199">
        <v>45352</v>
      </c>
      <c r="S2578" s="180">
        <v>4.2919999999999998</v>
      </c>
    </row>
    <row r="2579" spans="18:19">
      <c r="R2579" s="199">
        <v>45355</v>
      </c>
      <c r="S2579" s="180">
        <v>4.2919999999999998</v>
      </c>
    </row>
    <row r="2580" spans="18:19">
      <c r="R2580" s="199">
        <v>45356</v>
      </c>
      <c r="S2580" s="180">
        <v>4.2919999999999998</v>
      </c>
    </row>
    <row r="2581" spans="18:19">
      <c r="R2581" s="199">
        <v>45357</v>
      </c>
      <c r="S2581" s="180">
        <v>4.2919999999999998</v>
      </c>
    </row>
    <row r="2582" spans="18:19">
      <c r="R2582" s="199">
        <v>45358</v>
      </c>
      <c r="S2582" s="180">
        <v>4.2919999999999998</v>
      </c>
    </row>
    <row r="2583" spans="18:19">
      <c r="R2583" s="199">
        <v>45359</v>
      </c>
      <c r="S2583" s="180">
        <v>4.2919999999999998</v>
      </c>
    </row>
    <row r="2584" spans="18:19">
      <c r="R2584" s="199">
        <v>45362</v>
      </c>
      <c r="S2584" s="180">
        <v>4.2919999999999998</v>
      </c>
    </row>
    <row r="2585" spans="18:19">
      <c r="R2585" s="199">
        <v>45363</v>
      </c>
      <c r="S2585" s="180">
        <v>4.2919999999999998</v>
      </c>
    </row>
    <row r="2586" spans="18:19">
      <c r="R2586" s="199">
        <v>45364</v>
      </c>
      <c r="S2586" s="180">
        <v>4.2919999999999998</v>
      </c>
    </row>
    <row r="2587" spans="18:19">
      <c r="R2587" s="199">
        <v>45365</v>
      </c>
      <c r="S2587" s="180">
        <v>4.2919999999999998</v>
      </c>
    </row>
    <row r="2588" spans="18:19">
      <c r="R2588" s="199">
        <v>45366</v>
      </c>
      <c r="S2588" s="180">
        <v>4.2919999999999998</v>
      </c>
    </row>
    <row r="2589" spans="18:19">
      <c r="R2589" s="199">
        <v>45369</v>
      </c>
      <c r="S2589" s="180">
        <v>4.2919999999999998</v>
      </c>
    </row>
    <row r="2590" spans="18:19">
      <c r="R2590" s="199">
        <v>45370</v>
      </c>
      <c r="S2590" s="180">
        <v>4.2919999999999998</v>
      </c>
    </row>
    <row r="2591" spans="18:19">
      <c r="R2591" s="199">
        <v>45371</v>
      </c>
      <c r="S2591" s="180">
        <v>4.2919999999999998</v>
      </c>
    </row>
    <row r="2592" spans="18:19">
      <c r="R2592" s="199">
        <v>45372</v>
      </c>
      <c r="S2592" s="180">
        <v>4.2919999999999998</v>
      </c>
    </row>
    <row r="2593" spans="18:19">
      <c r="R2593" s="199">
        <v>45373</v>
      </c>
      <c r="S2593" s="180">
        <v>4.2919999999999998</v>
      </c>
    </row>
    <row r="2594" spans="18:19">
      <c r="R2594" s="199">
        <v>45376</v>
      </c>
      <c r="S2594" s="180">
        <v>4.2919999999999998</v>
      </c>
    </row>
    <row r="2595" spans="18:19">
      <c r="R2595" s="199">
        <v>45377</v>
      </c>
      <c r="S2595" s="180">
        <v>4.2919999999999998</v>
      </c>
    </row>
    <row r="2596" spans="18:19">
      <c r="R2596" s="199">
        <v>45378</v>
      </c>
      <c r="S2596" s="180">
        <v>4.2919999999999998</v>
      </c>
    </row>
    <row r="2597" spans="18:19">
      <c r="R2597" s="199">
        <v>45379</v>
      </c>
      <c r="S2597" s="180">
        <v>4.2919999999999998</v>
      </c>
    </row>
    <row r="2598" spans="18:19">
      <c r="R2598" s="199">
        <v>45384</v>
      </c>
      <c r="S2598" s="180">
        <v>4.2919999999999998</v>
      </c>
    </row>
    <row r="2599" spans="18:19">
      <c r="R2599" s="199">
        <v>45385</v>
      </c>
      <c r="S2599" s="180">
        <v>4.2919999999999998</v>
      </c>
    </row>
    <row r="2600" spans="18:19">
      <c r="R2600" s="199">
        <v>45386</v>
      </c>
      <c r="S2600" s="180">
        <v>4.2919999999999998</v>
      </c>
    </row>
    <row r="2601" spans="18:19">
      <c r="R2601" s="199">
        <v>45387</v>
      </c>
      <c r="S2601" s="180">
        <v>4.2919999999999998</v>
      </c>
    </row>
    <row r="2602" spans="18:19">
      <c r="R2602" s="199">
        <v>45390</v>
      </c>
      <c r="S2602" s="180">
        <v>4.2919999999999998</v>
      </c>
    </row>
    <row r="2603" spans="18:19">
      <c r="R2603" s="199">
        <v>45391</v>
      </c>
      <c r="S2603" s="180">
        <v>4.2919999999999998</v>
      </c>
    </row>
    <row r="2604" spans="18:19">
      <c r="R2604" s="199">
        <v>45392</v>
      </c>
      <c r="S2604" s="180">
        <v>4.2919999999999998</v>
      </c>
    </row>
    <row r="2605" spans="18:19">
      <c r="R2605" s="199">
        <v>45393</v>
      </c>
      <c r="S2605" s="180">
        <v>4.2919999999999998</v>
      </c>
    </row>
    <row r="2606" spans="18:19">
      <c r="R2606" s="199">
        <v>45394</v>
      </c>
      <c r="S2606" s="180">
        <v>4.2919999999999998</v>
      </c>
    </row>
    <row r="2607" spans="18:19">
      <c r="R2607" s="199">
        <v>45397</v>
      </c>
      <c r="S2607" s="180">
        <v>4.2919999999999998</v>
      </c>
    </row>
    <row r="2608" spans="18:19">
      <c r="R2608" s="199">
        <v>45398</v>
      </c>
      <c r="S2608" s="180">
        <v>4.2919999999999998</v>
      </c>
    </row>
    <row r="2609" spans="18:19">
      <c r="R2609" s="199">
        <v>45399</v>
      </c>
      <c r="S2609" s="180">
        <v>4.2919999999999998</v>
      </c>
    </row>
    <row r="2610" spans="18:19">
      <c r="R2610" s="199">
        <v>45400</v>
      </c>
      <c r="S2610" s="180">
        <v>4.2919999999999998</v>
      </c>
    </row>
    <row r="2611" spans="18:19">
      <c r="R2611" s="199">
        <v>45401</v>
      </c>
      <c r="S2611" s="180">
        <v>4.2919999999999998</v>
      </c>
    </row>
    <row r="2612" spans="18:19">
      <c r="R2612" s="199">
        <v>45404</v>
      </c>
      <c r="S2612" s="180">
        <v>4.2919999999999998</v>
      </c>
    </row>
    <row r="2613" spans="18:19">
      <c r="R2613" s="199">
        <v>45405</v>
      </c>
      <c r="S2613" s="180">
        <v>4.2919999999999998</v>
      </c>
    </row>
    <row r="2614" spans="18:19">
      <c r="R2614" s="199">
        <v>45406</v>
      </c>
      <c r="S2614" s="180">
        <v>4.2919999999999998</v>
      </c>
    </row>
    <row r="2615" spans="18:19">
      <c r="R2615" s="199">
        <v>45408</v>
      </c>
      <c r="S2615" s="180">
        <v>4.2919999999999998</v>
      </c>
    </row>
    <row r="2616" spans="18:19">
      <c r="R2616" s="199">
        <v>45411</v>
      </c>
      <c r="S2616" s="180">
        <v>4.2919999999999998</v>
      </c>
    </row>
    <row r="2617" spans="18:19">
      <c r="R2617" s="199">
        <v>45412</v>
      </c>
      <c r="S2617" s="180">
        <v>4.2919999999999998</v>
      </c>
    </row>
    <row r="2618" spans="18:19">
      <c r="R2618" s="199">
        <v>45413</v>
      </c>
      <c r="S2618" s="180">
        <v>4.2919999999999998</v>
      </c>
    </row>
    <row r="2619" spans="18:19">
      <c r="R2619" s="199">
        <v>45414</v>
      </c>
      <c r="S2619" s="180">
        <v>4.2919999999999998</v>
      </c>
    </row>
    <row r="2620" spans="18:19">
      <c r="R2620" s="199">
        <v>45415</v>
      </c>
      <c r="S2620" s="180">
        <v>4.2919999999999998</v>
      </c>
    </row>
    <row r="2621" spans="18:19">
      <c r="R2621" s="199">
        <v>45418</v>
      </c>
      <c r="S2621" s="180">
        <v>4.2919999999999998</v>
      </c>
    </row>
    <row r="2622" spans="18:19">
      <c r="R2622" s="199">
        <v>45419</v>
      </c>
      <c r="S2622" s="180">
        <v>4.2919999999999998</v>
      </c>
    </row>
    <row r="2623" spans="18:19">
      <c r="R2623" s="199">
        <v>45420</v>
      </c>
      <c r="S2623" s="180">
        <v>4.2919999999999998</v>
      </c>
    </row>
    <row r="2624" spans="18:19">
      <c r="R2624" s="199">
        <v>45421</v>
      </c>
      <c r="S2624" s="180">
        <v>4.2919999999999998</v>
      </c>
    </row>
    <row r="2625" spans="18:19">
      <c r="R2625" s="199">
        <v>45422</v>
      </c>
      <c r="S2625" s="180">
        <v>4.2919999999999998</v>
      </c>
    </row>
    <row r="2626" spans="18:19">
      <c r="R2626" s="199">
        <v>45425</v>
      </c>
      <c r="S2626" s="180">
        <v>4.2919999999999998</v>
      </c>
    </row>
    <row r="2627" spans="18:19">
      <c r="R2627" s="199">
        <v>45426</v>
      </c>
      <c r="S2627" s="180">
        <v>4.2919999999999998</v>
      </c>
    </row>
    <row r="2628" spans="18:19">
      <c r="R2628" s="199">
        <v>45427</v>
      </c>
      <c r="S2628" s="180">
        <v>4.2919999999999998</v>
      </c>
    </row>
    <row r="2629" spans="18:19">
      <c r="R2629" s="199">
        <v>45428</v>
      </c>
      <c r="S2629" s="180">
        <v>4.2919999999999998</v>
      </c>
    </row>
    <row r="2630" spans="18:19">
      <c r="R2630" s="199">
        <v>45429</v>
      </c>
      <c r="S2630" s="180">
        <v>4.2919999999999998</v>
      </c>
    </row>
    <row r="2631" spans="18:19">
      <c r="R2631" s="199">
        <v>45432</v>
      </c>
      <c r="S2631" s="180">
        <v>4.2919999999999998</v>
      </c>
    </row>
    <row r="2632" spans="18:19">
      <c r="R2632" s="199">
        <v>45433</v>
      </c>
      <c r="S2632" s="180">
        <v>4.2919999999999998</v>
      </c>
    </row>
    <row r="2633" spans="18:19">
      <c r="R2633" s="199">
        <v>45434</v>
      </c>
      <c r="S2633" s="180">
        <v>4.2919999999999998</v>
      </c>
    </row>
    <row r="2634" spans="18:19">
      <c r="R2634" s="199">
        <v>45435</v>
      </c>
      <c r="S2634" s="180">
        <v>4.2919999999999998</v>
      </c>
    </row>
    <row r="2635" spans="18:19">
      <c r="R2635" s="199">
        <v>45436</v>
      </c>
      <c r="S2635" s="180">
        <v>4.2919999999999998</v>
      </c>
    </row>
    <row r="2636" spans="18:19">
      <c r="R2636" s="199">
        <v>45439</v>
      </c>
      <c r="S2636" s="180">
        <v>4.2919999999999998</v>
      </c>
    </row>
    <row r="2637" spans="18:19">
      <c r="R2637" s="199">
        <v>45440</v>
      </c>
      <c r="S2637" s="180">
        <v>4.2919999999999998</v>
      </c>
    </row>
    <row r="2638" spans="18:19">
      <c r="R2638" s="199">
        <v>45441</v>
      </c>
      <c r="S2638" s="180">
        <v>4.2919999999999998</v>
      </c>
    </row>
    <row r="2639" spans="18:19">
      <c r="R2639" s="199">
        <v>45442</v>
      </c>
      <c r="S2639" s="180">
        <v>4.2919999999999998</v>
      </c>
    </row>
    <row r="2640" spans="18:19">
      <c r="R2640" s="199">
        <v>45443</v>
      </c>
      <c r="S2640" s="180">
        <v>4.2919999999999998</v>
      </c>
    </row>
    <row r="2641" spans="18:19">
      <c r="R2641" s="199">
        <v>45446</v>
      </c>
      <c r="S2641" s="180">
        <v>4.2919999999999998</v>
      </c>
    </row>
    <row r="2642" spans="18:19">
      <c r="R2642" s="199">
        <v>45447</v>
      </c>
      <c r="S2642" s="180">
        <v>4.2919999999999998</v>
      </c>
    </row>
    <row r="2643" spans="18:19">
      <c r="R2643" s="199">
        <v>45448</v>
      </c>
      <c r="S2643" s="180">
        <v>4.2919999999999998</v>
      </c>
    </row>
    <row r="2644" spans="18:19">
      <c r="R2644" s="199">
        <v>45449</v>
      </c>
      <c r="S2644" s="180">
        <v>4.2919999999999998</v>
      </c>
    </row>
    <row r="2645" spans="18:19">
      <c r="R2645" s="199">
        <v>45450</v>
      </c>
      <c r="S2645" s="180">
        <v>4.2919999999999998</v>
      </c>
    </row>
    <row r="2646" spans="18:19">
      <c r="R2646" s="199">
        <v>45454</v>
      </c>
      <c r="S2646" s="180">
        <v>4.2919999999999998</v>
      </c>
    </row>
    <row r="2647" spans="18:19">
      <c r="R2647" s="199">
        <v>45455</v>
      </c>
      <c r="S2647" s="180">
        <v>4.2919999999999998</v>
      </c>
    </row>
    <row r="2648" spans="18:19">
      <c r="R2648" s="199">
        <v>45456</v>
      </c>
      <c r="S2648" s="180">
        <v>4.2919999999999998</v>
      </c>
    </row>
    <row r="2649" spans="18:19">
      <c r="R2649" s="199">
        <v>45457</v>
      </c>
      <c r="S2649" s="180">
        <v>4.2919999999999998</v>
      </c>
    </row>
    <row r="2650" spans="18:19">
      <c r="R2650" s="199">
        <v>45460</v>
      </c>
      <c r="S2650" s="180">
        <v>4.2919999999999998</v>
      </c>
    </row>
    <row r="2651" spans="18:19">
      <c r="R2651" s="199">
        <v>45461</v>
      </c>
      <c r="S2651" s="180">
        <v>4.2919999999999998</v>
      </c>
    </row>
    <row r="2652" spans="18:19">
      <c r="R2652" s="199">
        <v>45462</v>
      </c>
      <c r="S2652" s="180">
        <v>4.2919999999999998</v>
      </c>
    </row>
    <row r="2653" spans="18:19">
      <c r="R2653" s="199">
        <v>45463</v>
      </c>
      <c r="S2653" s="180">
        <v>4.2919999999999998</v>
      </c>
    </row>
    <row r="2654" spans="18:19">
      <c r="R2654" s="199">
        <v>45464</v>
      </c>
      <c r="S2654" s="180">
        <v>4.2919999999999998</v>
      </c>
    </row>
    <row r="2655" spans="18:19">
      <c r="R2655" s="199">
        <v>45467</v>
      </c>
      <c r="S2655" s="180">
        <v>4.2919999999999998</v>
      </c>
    </row>
    <row r="2656" spans="18:19">
      <c r="R2656" s="199">
        <v>45468</v>
      </c>
      <c r="S2656" s="180">
        <v>4.2919999999999998</v>
      </c>
    </row>
    <row r="2657" spans="18:19">
      <c r="R2657" s="199">
        <v>45469</v>
      </c>
      <c r="S2657" s="180">
        <v>4.2919999999999998</v>
      </c>
    </row>
    <row r="2658" spans="18:19">
      <c r="R2658" s="199">
        <v>45470</v>
      </c>
      <c r="S2658" s="180">
        <v>4.2919999999999998</v>
      </c>
    </row>
    <row r="2659" spans="18:19">
      <c r="R2659" s="199">
        <v>45471</v>
      </c>
      <c r="S2659" s="180">
        <v>4.2919999999999998</v>
      </c>
    </row>
    <row r="2660" spans="18:19">
      <c r="R2660" s="199">
        <v>45474</v>
      </c>
      <c r="S2660" s="180">
        <v>4.2919999999999998</v>
      </c>
    </row>
    <row r="2661" spans="18:19">
      <c r="R2661" s="199">
        <v>45475</v>
      </c>
      <c r="S2661" s="180">
        <v>4.2919999999999998</v>
      </c>
    </row>
    <row r="2662" spans="18:19">
      <c r="R2662" s="199">
        <v>45476</v>
      </c>
      <c r="S2662" s="180">
        <v>4.2919999999999998</v>
      </c>
    </row>
    <row r="2663" spans="18:19">
      <c r="R2663" s="199">
        <v>45477</v>
      </c>
      <c r="S2663" s="180">
        <v>4.2919999999999998</v>
      </c>
    </row>
    <row r="2664" spans="18:19">
      <c r="R2664" s="199">
        <v>45478</v>
      </c>
      <c r="S2664" s="180">
        <v>4.2919999999999998</v>
      </c>
    </row>
    <row r="2665" spans="18:19">
      <c r="R2665" s="199">
        <v>45481</v>
      </c>
      <c r="S2665" s="180">
        <v>4.2919999999999998</v>
      </c>
    </row>
    <row r="2666" spans="18:19">
      <c r="R2666" s="199">
        <v>45482</v>
      </c>
      <c r="S2666" s="180">
        <v>4.2919999999999998</v>
      </c>
    </row>
    <row r="2667" spans="18:19">
      <c r="R2667" s="199">
        <v>45483</v>
      </c>
      <c r="S2667" s="180">
        <v>4.2919999999999998</v>
      </c>
    </row>
    <row r="2668" spans="18:19">
      <c r="R2668" s="199">
        <v>45484</v>
      </c>
      <c r="S2668" s="180">
        <v>4.2919999999999998</v>
      </c>
    </row>
    <row r="2669" spans="18:19">
      <c r="R2669" s="199">
        <v>45485</v>
      </c>
      <c r="S2669" s="180">
        <v>4.2919999999999998</v>
      </c>
    </row>
    <row r="2670" spans="18:19">
      <c r="R2670" s="199">
        <v>45488</v>
      </c>
      <c r="S2670" s="180">
        <v>4.2919999999999998</v>
      </c>
    </row>
    <row r="2671" spans="18:19">
      <c r="R2671" s="199">
        <v>45489</v>
      </c>
      <c r="S2671" s="180">
        <v>4.2919999999999998</v>
      </c>
    </row>
    <row r="2672" spans="18:19">
      <c r="R2672" s="199">
        <v>45490</v>
      </c>
      <c r="S2672" s="180">
        <v>4.2919999999999998</v>
      </c>
    </row>
    <row r="2673" spans="18:19">
      <c r="R2673" s="199">
        <v>45491</v>
      </c>
      <c r="S2673" s="180">
        <v>4.2919999999999998</v>
      </c>
    </row>
    <row r="2674" spans="18:19">
      <c r="R2674" s="199">
        <v>45492</v>
      </c>
      <c r="S2674" s="180">
        <v>4.2919999999999998</v>
      </c>
    </row>
    <row r="2675" spans="18:19">
      <c r="R2675" s="199">
        <v>45495</v>
      </c>
      <c r="S2675" s="180">
        <v>4.2919999999999998</v>
      </c>
    </row>
    <row r="2676" spans="18:19">
      <c r="R2676" s="199">
        <v>45496</v>
      </c>
      <c r="S2676" s="180">
        <v>4.2919999999999998</v>
      </c>
    </row>
    <row r="2677" spans="18:19">
      <c r="R2677" s="199">
        <v>45497</v>
      </c>
      <c r="S2677" s="180">
        <v>4.2919999999999998</v>
      </c>
    </row>
    <row r="2678" spans="18:19">
      <c r="R2678" s="199">
        <v>45498</v>
      </c>
      <c r="S2678" s="180">
        <v>4.2919999999999998</v>
      </c>
    </row>
    <row r="2679" spans="18:19">
      <c r="R2679" s="199">
        <v>45499</v>
      </c>
      <c r="S2679" s="180">
        <v>4.2919999999999998</v>
      </c>
    </row>
    <row r="2680" spans="18:19">
      <c r="R2680" s="199">
        <v>45502</v>
      </c>
      <c r="S2680" s="180">
        <v>4.2919999999999998</v>
      </c>
    </row>
    <row r="2681" spans="18:19">
      <c r="R2681" s="199">
        <v>45503</v>
      </c>
      <c r="S2681" s="180">
        <v>4.2919999999999998</v>
      </c>
    </row>
    <row r="2682" spans="18:19">
      <c r="R2682" s="199">
        <v>45504</v>
      </c>
      <c r="S2682" s="180">
        <v>4.2919999999999998</v>
      </c>
    </row>
    <row r="2683" spans="18:19">
      <c r="R2683" s="199">
        <v>45505</v>
      </c>
      <c r="S2683" s="180">
        <v>4.2919999999999998</v>
      </c>
    </row>
    <row r="2684" spans="18:19">
      <c r="R2684" s="199">
        <v>45506</v>
      </c>
      <c r="S2684" s="180">
        <v>4.2919999999999998</v>
      </c>
    </row>
    <row r="2685" spans="18:19">
      <c r="R2685" s="199">
        <v>45509</v>
      </c>
      <c r="S2685" s="180">
        <v>4.2919999999999998</v>
      </c>
    </row>
    <row r="2686" spans="18:19">
      <c r="R2686" s="199">
        <v>45510</v>
      </c>
      <c r="S2686" s="180">
        <v>4.2919999999999998</v>
      </c>
    </row>
    <row r="2687" spans="18:19">
      <c r="R2687" s="199">
        <v>45511</v>
      </c>
      <c r="S2687" s="180">
        <v>4.2919999999999998</v>
      </c>
    </row>
    <row r="2688" spans="18:19">
      <c r="R2688" s="199">
        <v>45512</v>
      </c>
      <c r="S2688" s="180">
        <v>4.2919999999999998</v>
      </c>
    </row>
    <row r="2689" spans="18:19">
      <c r="R2689" s="199">
        <v>45513</v>
      </c>
      <c r="S2689" s="180">
        <v>4.2919999999999998</v>
      </c>
    </row>
    <row r="2690" spans="18:19">
      <c r="R2690" s="199">
        <v>45516</v>
      </c>
      <c r="S2690" s="180">
        <v>4.2919999999999998</v>
      </c>
    </row>
    <row r="2691" spans="18:19">
      <c r="R2691" s="199">
        <v>45517</v>
      </c>
      <c r="S2691" s="180">
        <v>4.2919999999999998</v>
      </c>
    </row>
    <row r="2692" spans="18:19">
      <c r="R2692" s="199">
        <v>45518</v>
      </c>
      <c r="S2692" s="180">
        <v>4.2919999999999998</v>
      </c>
    </row>
    <row r="2693" spans="18:19">
      <c r="R2693" s="199">
        <v>45519</v>
      </c>
      <c r="S2693" s="180">
        <v>4.2919999999999998</v>
      </c>
    </row>
    <row r="2694" spans="18:19">
      <c r="R2694" s="199">
        <v>45520</v>
      </c>
      <c r="S2694" s="180">
        <v>4.2919999999999998</v>
      </c>
    </row>
    <row r="2695" spans="18:19">
      <c r="R2695" s="199">
        <v>45523</v>
      </c>
      <c r="S2695" s="180">
        <v>4.2919999999999998</v>
      </c>
    </row>
    <row r="2696" spans="18:19">
      <c r="R2696" s="199">
        <v>45524</v>
      </c>
      <c r="S2696" s="180">
        <v>4.2919999999999998</v>
      </c>
    </row>
    <row r="2697" spans="18:19">
      <c r="R2697" s="199">
        <v>45525</v>
      </c>
      <c r="S2697" s="180">
        <v>4.2919999999999998</v>
      </c>
    </row>
    <row r="2698" spans="18:19">
      <c r="R2698" s="199">
        <v>45526</v>
      </c>
      <c r="S2698" s="180">
        <v>4.2919999999999998</v>
      </c>
    </row>
    <row r="2699" spans="18:19">
      <c r="R2699" s="199">
        <v>45527</v>
      </c>
      <c r="S2699" s="180">
        <v>4.2919999999999998</v>
      </c>
    </row>
    <row r="2700" spans="18:19">
      <c r="R2700" s="199">
        <v>45530</v>
      </c>
      <c r="S2700" s="180">
        <v>4.2919999999999998</v>
      </c>
    </row>
    <row r="2701" spans="18:19">
      <c r="R2701" s="199">
        <v>45531</v>
      </c>
      <c r="S2701" s="180">
        <v>4.2919999999999998</v>
      </c>
    </row>
    <row r="2702" spans="18:19">
      <c r="R2702" s="199">
        <v>45532</v>
      </c>
      <c r="S2702" s="180">
        <v>4.2919999999999998</v>
      </c>
    </row>
    <row r="2703" spans="18:19">
      <c r="R2703" s="199">
        <v>45533</v>
      </c>
      <c r="S2703" s="180">
        <v>4.2919999999999998</v>
      </c>
    </row>
    <row r="2704" spans="18:19">
      <c r="R2704" s="199">
        <v>45534</v>
      </c>
      <c r="S2704" s="180">
        <v>4.2919999999999998</v>
      </c>
    </row>
    <row r="2705" spans="18:19">
      <c r="R2705" s="199">
        <v>45537</v>
      </c>
      <c r="S2705" s="180">
        <v>4.2919999999999998</v>
      </c>
    </row>
    <row r="2706" spans="18:19">
      <c r="R2706" s="199">
        <v>45538</v>
      </c>
      <c r="S2706" s="180">
        <v>4.2919999999999998</v>
      </c>
    </row>
    <row r="2707" spans="18:19">
      <c r="R2707" s="199">
        <v>45539</v>
      </c>
      <c r="S2707" s="180">
        <v>4.2919999999999998</v>
      </c>
    </row>
    <row r="2708" spans="18:19">
      <c r="R2708" s="199">
        <v>45540</v>
      </c>
      <c r="S2708" s="180">
        <v>4.2919999999999998</v>
      </c>
    </row>
    <row r="2709" spans="18:19">
      <c r="R2709" s="199">
        <v>45541</v>
      </c>
      <c r="S2709" s="180">
        <v>4.2919999999999998</v>
      </c>
    </row>
    <row r="2710" spans="18:19">
      <c r="R2710" s="199">
        <v>45544</v>
      </c>
      <c r="S2710" s="180">
        <v>4.2919999999999998</v>
      </c>
    </row>
    <row r="2711" spans="18:19">
      <c r="R2711" s="199">
        <v>45545</v>
      </c>
      <c r="S2711" s="180">
        <v>4.2919999999999998</v>
      </c>
    </row>
    <row r="2712" spans="18:19">
      <c r="R2712" s="199">
        <v>45546</v>
      </c>
      <c r="S2712" s="180">
        <v>4.2919999999999998</v>
      </c>
    </row>
    <row r="2713" spans="18:19">
      <c r="R2713" s="199">
        <v>45547</v>
      </c>
      <c r="S2713" s="180">
        <v>4.2919999999999998</v>
      </c>
    </row>
    <row r="2714" spans="18:19">
      <c r="R2714" s="199">
        <v>45548</v>
      </c>
      <c r="S2714" s="180">
        <v>4.2919999999999998</v>
      </c>
    </row>
    <row r="2715" spans="18:19">
      <c r="R2715" s="199">
        <v>45551</v>
      </c>
      <c r="S2715" s="180">
        <v>4.2919999999999998</v>
      </c>
    </row>
    <row r="2716" spans="18:19">
      <c r="R2716" s="199">
        <v>45552</v>
      </c>
      <c r="S2716" s="180">
        <v>4.2919999999999998</v>
      </c>
    </row>
    <row r="2717" spans="18:19">
      <c r="R2717" s="199">
        <v>45553</v>
      </c>
      <c r="S2717" s="180">
        <v>4.2919999999999998</v>
      </c>
    </row>
    <row r="2718" spans="18:19">
      <c r="R2718" s="199">
        <v>45554</v>
      </c>
      <c r="S2718" s="180">
        <v>4.2919999999999998</v>
      </c>
    </row>
    <row r="2719" spans="18:19">
      <c r="R2719" s="199">
        <v>45555</v>
      </c>
      <c r="S2719" s="180">
        <v>4.2919999999999998</v>
      </c>
    </row>
    <row r="2720" spans="18:19">
      <c r="R2720" s="199">
        <v>45558</v>
      </c>
      <c r="S2720" s="180">
        <v>4.2919999999999998</v>
      </c>
    </row>
    <row r="2721" spans="18:19">
      <c r="R2721" s="199">
        <v>45559</v>
      </c>
      <c r="S2721" s="180">
        <v>4.2919999999999998</v>
      </c>
    </row>
    <row r="2722" spans="18:19">
      <c r="R2722" s="199">
        <v>45560</v>
      </c>
      <c r="S2722" s="180">
        <v>4.2919999999999998</v>
      </c>
    </row>
    <row r="2723" spans="18:19">
      <c r="R2723" s="199">
        <v>45561</v>
      </c>
      <c r="S2723" s="180">
        <v>4.2919999999999998</v>
      </c>
    </row>
    <row r="2724" spans="18:19">
      <c r="R2724" s="199">
        <v>45562</v>
      </c>
      <c r="S2724" s="180">
        <v>4.2919999999999998</v>
      </c>
    </row>
    <row r="2725" spans="18:19">
      <c r="R2725" s="199">
        <v>45565</v>
      </c>
      <c r="S2725" s="180">
        <v>4.2919999999999998</v>
      </c>
    </row>
    <row r="2726" spans="18:19">
      <c r="R2726" s="199">
        <v>45566</v>
      </c>
      <c r="S2726" s="180">
        <v>4.2919999999999998</v>
      </c>
    </row>
    <row r="2727" spans="18:19">
      <c r="R2727" s="199">
        <v>45567</v>
      </c>
      <c r="S2727" s="180">
        <v>4.2919999999999998</v>
      </c>
    </row>
    <row r="2728" spans="18:19">
      <c r="R2728" s="199">
        <v>45568</v>
      </c>
      <c r="S2728" s="180">
        <v>4.2919999999999998</v>
      </c>
    </row>
    <row r="2729" spans="18:19">
      <c r="R2729" s="199">
        <v>45569</v>
      </c>
      <c r="S2729" s="180">
        <v>4.2919999999999998</v>
      </c>
    </row>
    <row r="2730" spans="18:19">
      <c r="R2730" s="199">
        <v>45572</v>
      </c>
      <c r="S2730" s="180">
        <v>4.2919999999999998</v>
      </c>
    </row>
    <row r="2731" spans="18:19">
      <c r="R2731" s="199">
        <v>45573</v>
      </c>
      <c r="S2731" s="180">
        <v>4.2919999999999998</v>
      </c>
    </row>
    <row r="2732" spans="18:19">
      <c r="R2732" s="199">
        <v>45574</v>
      </c>
      <c r="S2732" s="180">
        <v>4.2919999999999998</v>
      </c>
    </row>
    <row r="2733" spans="18:19">
      <c r="R2733" s="199">
        <v>45575</v>
      </c>
      <c r="S2733" s="180">
        <v>4.2919999999999998</v>
      </c>
    </row>
    <row r="2734" spans="18:19">
      <c r="R2734" s="199">
        <v>45576</v>
      </c>
      <c r="S2734" s="180">
        <v>4.2919999999999998</v>
      </c>
    </row>
    <row r="2735" spans="18:19">
      <c r="R2735" s="199">
        <v>45579</v>
      </c>
      <c r="S2735" s="180">
        <v>4.2919999999999998</v>
      </c>
    </row>
    <row r="2736" spans="18:19">
      <c r="R2736" s="199">
        <v>45580</v>
      </c>
      <c r="S2736" s="180">
        <v>4.2919999999999998</v>
      </c>
    </row>
    <row r="2737" spans="18:19">
      <c r="R2737" s="199">
        <v>45581</v>
      </c>
      <c r="S2737" s="180">
        <v>4.2919999999999998</v>
      </c>
    </row>
    <row r="2738" spans="18:19">
      <c r="R2738" s="199">
        <v>45582</v>
      </c>
      <c r="S2738" s="180">
        <v>4.2919999999999998</v>
      </c>
    </row>
    <row r="2739" spans="18:19">
      <c r="R2739" s="199">
        <v>45583</v>
      </c>
      <c r="S2739" s="180">
        <v>4.2919999999999998</v>
      </c>
    </row>
    <row r="2740" spans="18:19">
      <c r="R2740" s="199">
        <v>45586</v>
      </c>
      <c r="S2740" s="180">
        <v>4.2919999999999998</v>
      </c>
    </row>
    <row r="2741" spans="18:19">
      <c r="R2741" s="199">
        <v>45587</v>
      </c>
      <c r="S2741" s="180">
        <v>4.2919999999999998</v>
      </c>
    </row>
    <row r="2742" spans="18:19">
      <c r="R2742" s="199">
        <v>45588</v>
      </c>
      <c r="S2742" s="180">
        <v>4.2919999999999998</v>
      </c>
    </row>
    <row r="2743" spans="18:19">
      <c r="R2743" s="199">
        <v>45589</v>
      </c>
      <c r="S2743" s="180">
        <v>4.2919999999999998</v>
      </c>
    </row>
    <row r="2744" spans="18:19">
      <c r="R2744" s="199">
        <v>45590</v>
      </c>
      <c r="S2744" s="180">
        <v>4.2919999999999998</v>
      </c>
    </row>
    <row r="2745" spans="18:19">
      <c r="R2745" s="199">
        <v>45593</v>
      </c>
      <c r="S2745" s="180">
        <v>4.2919999999999998</v>
      </c>
    </row>
    <row r="2746" spans="18:19">
      <c r="R2746" s="199">
        <v>45594</v>
      </c>
      <c r="S2746" s="180">
        <v>4.2919999999999998</v>
      </c>
    </row>
    <row r="2747" spans="18:19">
      <c r="R2747" s="199">
        <v>45595</v>
      </c>
      <c r="S2747" s="180">
        <v>4.2919999999999998</v>
      </c>
    </row>
    <row r="2748" spans="18:19">
      <c r="R2748" s="199">
        <v>45596</v>
      </c>
      <c r="S2748" s="180">
        <v>4.2919999999999998</v>
      </c>
    </row>
    <row r="2749" spans="18:19">
      <c r="R2749" s="199">
        <v>45597</v>
      </c>
      <c r="S2749" s="180">
        <v>4.2919999999999998</v>
      </c>
    </row>
    <row r="2750" spans="18:19">
      <c r="R2750" s="199">
        <v>45600</v>
      </c>
      <c r="S2750" s="180">
        <v>4.2919999999999998</v>
      </c>
    </row>
    <row r="2751" spans="18:19">
      <c r="R2751" s="199">
        <v>45601</v>
      </c>
      <c r="S2751" s="180">
        <v>4.2919999999999998</v>
      </c>
    </row>
    <row r="2752" spans="18:19">
      <c r="R2752" s="199">
        <v>45602</v>
      </c>
      <c r="S2752" s="180">
        <v>4.2919999999999998</v>
      </c>
    </row>
    <row r="2753" spans="18:19">
      <c r="R2753" s="199">
        <v>45603</v>
      </c>
      <c r="S2753" s="180">
        <v>4.2919999999999998</v>
      </c>
    </row>
    <row r="2754" spans="18:19">
      <c r="R2754" s="199">
        <v>45604</v>
      </c>
      <c r="S2754" s="180">
        <v>4.2919999999999998</v>
      </c>
    </row>
    <row r="2755" spans="18:19">
      <c r="R2755" s="199">
        <v>45607</v>
      </c>
      <c r="S2755" s="180">
        <v>4.2919999999999998</v>
      </c>
    </row>
    <row r="2756" spans="18:19">
      <c r="R2756" s="199">
        <v>45608</v>
      </c>
      <c r="S2756" s="180">
        <v>4.2919999999999998</v>
      </c>
    </row>
    <row r="2757" spans="18:19">
      <c r="R2757" s="199">
        <v>45609</v>
      </c>
      <c r="S2757" s="180">
        <v>4.2919999999999998</v>
      </c>
    </row>
    <row r="2758" spans="18:19">
      <c r="R2758" s="199">
        <v>45610</v>
      </c>
      <c r="S2758" s="180">
        <v>4.2919999999999998</v>
      </c>
    </row>
    <row r="2759" spans="18:19">
      <c r="R2759" s="199">
        <v>45611</v>
      </c>
      <c r="S2759" s="180">
        <v>4.2919999999999998</v>
      </c>
    </row>
    <row r="2760" spans="18:19">
      <c r="R2760" s="199">
        <v>45614</v>
      </c>
      <c r="S2760" s="180">
        <v>4.2919999999999998</v>
      </c>
    </row>
    <row r="2761" spans="18:19">
      <c r="R2761" s="199">
        <v>45615</v>
      </c>
      <c r="S2761" s="180">
        <v>4.2919999999999998</v>
      </c>
    </row>
    <row r="2762" spans="18:19">
      <c r="R2762" s="199">
        <v>45616</v>
      </c>
      <c r="S2762" s="180">
        <v>4.2919999999999998</v>
      </c>
    </row>
    <row r="2763" spans="18:19">
      <c r="R2763" s="199">
        <v>45617</v>
      </c>
      <c r="S2763" s="180">
        <v>4.2919999999999998</v>
      </c>
    </row>
    <row r="2764" spans="18:19">
      <c r="R2764" s="199">
        <v>45618</v>
      </c>
      <c r="S2764" s="180">
        <v>4.2919999999999998</v>
      </c>
    </row>
    <row r="2765" spans="18:19">
      <c r="R2765" s="199">
        <v>45621</v>
      </c>
      <c r="S2765" s="180">
        <v>4.2919999999999998</v>
      </c>
    </row>
    <row r="2766" spans="18:19">
      <c r="R2766" s="199">
        <v>45622</v>
      </c>
      <c r="S2766" s="180">
        <v>4.2919999999999998</v>
      </c>
    </row>
    <row r="2767" spans="18:19">
      <c r="R2767" s="199">
        <v>45623</v>
      </c>
      <c r="S2767" s="180">
        <v>4.2919999999999998</v>
      </c>
    </row>
    <row r="2768" spans="18:19">
      <c r="R2768" s="199">
        <v>45624</v>
      </c>
      <c r="S2768" s="180">
        <v>4.2919999999999998</v>
      </c>
    </row>
    <row r="2769" spans="18:19">
      <c r="R2769" s="199">
        <v>45625</v>
      </c>
      <c r="S2769" s="180">
        <v>4.2919999999999998</v>
      </c>
    </row>
    <row r="2770" spans="18:19">
      <c r="R2770" s="199">
        <v>45628</v>
      </c>
      <c r="S2770" s="180">
        <v>4.2919999999999998</v>
      </c>
    </row>
    <row r="2771" spans="18:19">
      <c r="R2771" s="199">
        <v>45629</v>
      </c>
      <c r="S2771" s="180">
        <v>4.2919999999999998</v>
      </c>
    </row>
    <row r="2772" spans="18:19">
      <c r="R2772" s="199">
        <v>45630</v>
      </c>
      <c r="S2772" s="180">
        <v>4.2919999999999998</v>
      </c>
    </row>
    <row r="2773" spans="18:19">
      <c r="R2773" s="199">
        <v>45631</v>
      </c>
      <c r="S2773" s="180">
        <v>4.2919999999999998</v>
      </c>
    </row>
    <row r="2774" spans="18:19">
      <c r="R2774" s="199">
        <v>45632</v>
      </c>
      <c r="S2774" s="180">
        <v>4.2919999999999998</v>
      </c>
    </row>
    <row r="2775" spans="18:19">
      <c r="R2775" s="199">
        <v>45635</v>
      </c>
      <c r="S2775" s="180">
        <v>4.2919999999999998</v>
      </c>
    </row>
    <row r="2776" spans="18:19">
      <c r="R2776" s="199">
        <v>45636</v>
      </c>
      <c r="S2776" s="180">
        <v>4.2919999999999998</v>
      </c>
    </row>
    <row r="2777" spans="18:19">
      <c r="R2777" s="199">
        <v>45637</v>
      </c>
      <c r="S2777" s="180">
        <v>4.2919999999999998</v>
      </c>
    </row>
    <row r="2778" spans="18:19">
      <c r="R2778" s="199">
        <v>45638</v>
      </c>
      <c r="S2778" s="180">
        <v>4.2919999999999998</v>
      </c>
    </row>
    <row r="2779" spans="18:19">
      <c r="R2779" s="199">
        <v>45639</v>
      </c>
      <c r="S2779" s="180">
        <v>4.2919999999999998</v>
      </c>
    </row>
    <row r="2780" spans="18:19">
      <c r="R2780" s="199">
        <v>45642</v>
      </c>
      <c r="S2780" s="180">
        <v>4.2919999999999998</v>
      </c>
    </row>
    <row r="2781" spans="18:19">
      <c r="R2781" s="199">
        <v>45643</v>
      </c>
      <c r="S2781" s="180">
        <v>4.2919999999999998</v>
      </c>
    </row>
    <row r="2782" spans="18:19">
      <c r="R2782" s="199">
        <v>45644</v>
      </c>
      <c r="S2782" s="180">
        <v>4.2919999999999998</v>
      </c>
    </row>
    <row r="2783" spans="18:19">
      <c r="R2783" s="199">
        <v>45645</v>
      </c>
      <c r="S2783" s="180">
        <v>4.2919999999999998</v>
      </c>
    </row>
    <row r="2784" spans="18:19">
      <c r="R2784" s="199">
        <v>45646</v>
      </c>
      <c r="S2784" s="180">
        <v>4.2919999999999998</v>
      </c>
    </row>
    <row r="2785" spans="18:19">
      <c r="R2785" s="199">
        <v>45649</v>
      </c>
      <c r="S2785" s="180">
        <v>4.2919999999999998</v>
      </c>
    </row>
    <row r="2786" spans="18:19">
      <c r="R2786" s="199">
        <v>45650</v>
      </c>
      <c r="S2786" s="180">
        <v>4.2919999999999998</v>
      </c>
    </row>
    <row r="2787" spans="18:19">
      <c r="R2787" s="199">
        <v>45653</v>
      </c>
      <c r="S2787" s="180">
        <v>4.2919999999999998</v>
      </c>
    </row>
    <row r="2788" spans="18:19">
      <c r="R2788" s="199">
        <v>45656</v>
      </c>
      <c r="S2788" s="180">
        <v>4.2919999999999998</v>
      </c>
    </row>
    <row r="2789" spans="18:19">
      <c r="R2789" s="199">
        <v>45657</v>
      </c>
      <c r="S2789" s="180">
        <v>4.2919999999999998</v>
      </c>
    </row>
    <row r="2791" spans="18:19">
      <c r="S2791" s="181">
        <f>AVERAGE(S6:S2789)</f>
        <v>4.2919999999999376</v>
      </c>
    </row>
  </sheetData>
  <sortState xmlns:xlrd2="http://schemas.microsoft.com/office/spreadsheetml/2017/richdata2" ref="G6:H1271">
    <sortCondition descending="1" ref="G5:G1271"/>
  </sortState>
  <mergeCells count="3">
    <mergeCell ref="A1:P1"/>
    <mergeCell ref="R1:V1"/>
    <mergeCell ref="U19:V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C1DF-E334-4B4E-83C7-606F9BB7A153}">
  <dimension ref="A1:J22"/>
  <sheetViews>
    <sheetView workbookViewId="0">
      <selection activeCell="H18" sqref="H18"/>
    </sheetView>
  </sheetViews>
  <sheetFormatPr baseColWidth="10" defaultColWidth="8.83203125" defaultRowHeight="15"/>
  <cols>
    <col min="1" max="1" width="21.33203125" customWidth="1"/>
    <col min="2" max="2" width="20.1640625" bestFit="1" customWidth="1"/>
    <col min="3" max="3" width="11.33203125" customWidth="1"/>
    <col min="8" max="8" width="16.1640625" customWidth="1"/>
  </cols>
  <sheetData>
    <row r="1" spans="1:10" ht="16" thickBot="1"/>
    <row r="2" spans="1:10" ht="16" thickBot="1">
      <c r="A2" s="207" t="s">
        <v>190</v>
      </c>
      <c r="B2" s="209">
        <v>2024</v>
      </c>
      <c r="C2" s="210">
        <v>2023</v>
      </c>
      <c r="H2" s="47" t="s">
        <v>191</v>
      </c>
      <c r="I2" s="208" t="s">
        <v>192</v>
      </c>
      <c r="J2" s="208" t="s">
        <v>193</v>
      </c>
    </row>
    <row r="3" spans="1:10">
      <c r="A3" s="202" t="s">
        <v>126</v>
      </c>
      <c r="B3" s="202">
        <v>100.6</v>
      </c>
      <c r="C3" s="202"/>
      <c r="H3" s="46" t="s">
        <v>195</v>
      </c>
      <c r="I3" s="46">
        <v>2987.9</v>
      </c>
      <c r="J3" s="46">
        <f>(I3/I5)*100</f>
        <v>27.398101875200588</v>
      </c>
    </row>
    <row r="4" spans="1:10">
      <c r="A4" s="46" t="s">
        <v>197</v>
      </c>
      <c r="B4" s="46">
        <v>297.5</v>
      </c>
      <c r="C4" s="46"/>
      <c r="H4" s="46" t="s">
        <v>194</v>
      </c>
      <c r="I4" s="46">
        <v>7917.6</v>
      </c>
      <c r="J4" s="46">
        <f>(I4/I5)*100</f>
        <v>72.601898124799419</v>
      </c>
    </row>
    <row r="5" spans="1:10">
      <c r="A5" s="46" t="s">
        <v>198</v>
      </c>
      <c r="B5" s="46">
        <v>2690.4</v>
      </c>
      <c r="C5" s="46">
        <v>1673.5</v>
      </c>
      <c r="H5" s="46" t="s">
        <v>196</v>
      </c>
      <c r="I5" s="46">
        <v>10905.5</v>
      </c>
      <c r="J5" s="203">
        <v>1</v>
      </c>
    </row>
    <row r="6" spans="1:10">
      <c r="A6" s="46" t="s">
        <v>200</v>
      </c>
      <c r="B6" s="46">
        <f>B5+B4</f>
        <v>2987.9</v>
      </c>
      <c r="C6" s="46"/>
    </row>
    <row r="7" spans="1:10">
      <c r="A7" s="46" t="s">
        <v>199</v>
      </c>
      <c r="B7" s="46">
        <f>(B6+C5)/2</f>
        <v>2330.6999999999998</v>
      </c>
      <c r="C7" s="46"/>
    </row>
    <row r="8" spans="1:10">
      <c r="A8" s="46" t="s">
        <v>190</v>
      </c>
      <c r="B8" s="211">
        <f>B3/B7</f>
        <v>4.3162998240871844E-2</v>
      </c>
      <c r="C8" s="46"/>
    </row>
    <row r="9" spans="1:10">
      <c r="A9" s="46" t="s">
        <v>201</v>
      </c>
      <c r="B9" s="46">
        <v>186.84</v>
      </c>
      <c r="C9" s="46"/>
    </row>
    <row r="10" spans="1:10">
      <c r="A10" s="46" t="s">
        <v>202</v>
      </c>
      <c r="B10" s="46">
        <v>730.65</v>
      </c>
      <c r="C10" s="46"/>
    </row>
    <row r="11" spans="1:10">
      <c r="A11" s="46" t="s">
        <v>203</v>
      </c>
      <c r="B11" s="201">
        <f>B9/B10</f>
        <v>0.2557175118045576</v>
      </c>
      <c r="C11" s="46"/>
    </row>
    <row r="12" spans="1:10">
      <c r="A12" s="46" t="s">
        <v>204</v>
      </c>
      <c r="B12" s="206">
        <f>B8*(1-B11)</f>
        <v>3.21254637286916E-2</v>
      </c>
      <c r="C12" s="46"/>
    </row>
    <row r="15" spans="1:10">
      <c r="A15" s="46" t="s">
        <v>182</v>
      </c>
      <c r="B15" s="204">
        <v>6.3E-2</v>
      </c>
    </row>
    <row r="16" spans="1:10">
      <c r="A16" s="46" t="s">
        <v>205</v>
      </c>
      <c r="B16" s="46">
        <v>0.04</v>
      </c>
    </row>
    <row r="17" spans="1:6">
      <c r="A17" s="46" t="s">
        <v>207</v>
      </c>
      <c r="B17" s="46">
        <v>27.398099999999999</v>
      </c>
    </row>
    <row r="18" spans="1:6">
      <c r="A18" s="46" t="s">
        <v>206</v>
      </c>
      <c r="B18" s="46">
        <v>72.601900000000001</v>
      </c>
    </row>
    <row r="19" spans="1:6">
      <c r="A19" s="46"/>
      <c r="B19" s="46"/>
    </row>
    <row r="20" spans="1:6">
      <c r="A20" s="303" t="s">
        <v>208</v>
      </c>
      <c r="B20" s="303"/>
      <c r="C20" s="303"/>
      <c r="D20" s="303"/>
      <c r="E20" s="303"/>
      <c r="F20" s="71"/>
    </row>
    <row r="21" spans="1:6">
      <c r="A21" s="303" t="s">
        <v>209</v>
      </c>
      <c r="B21" s="303"/>
      <c r="C21" s="303"/>
      <c r="D21" s="303"/>
      <c r="E21" s="303"/>
      <c r="F21" s="303"/>
    </row>
    <row r="22" spans="1:6">
      <c r="A22" s="71"/>
      <c r="B22" s="205">
        <f>0.0545</f>
        <v>5.45E-2</v>
      </c>
      <c r="C22" s="71"/>
      <c r="D22" s="71"/>
      <c r="E22" s="71"/>
      <c r="F22" s="71"/>
    </row>
  </sheetData>
  <mergeCells count="2">
    <mergeCell ref="A20:E20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Name</vt:lpstr>
      <vt:lpstr>Income Sheet</vt:lpstr>
      <vt:lpstr>Dividend Calculation</vt:lpstr>
      <vt:lpstr>Section B</vt:lpstr>
      <vt:lpstr>Regression</vt:lpstr>
      <vt:lpstr>Beta &amp; Cost of Equity</vt:lpstr>
      <vt:lpstr>Cost Of Debt &amp; 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Randeep Pawar</dc:creator>
  <cp:lastModifiedBy>Chinmay Praveen Shetty (Student)</cp:lastModifiedBy>
  <dcterms:created xsi:type="dcterms:W3CDTF">2025-05-07T08:22:53Z</dcterms:created>
  <dcterms:modified xsi:type="dcterms:W3CDTF">2026-03-23T13:27:30Z</dcterms:modified>
</cp:coreProperties>
</file>